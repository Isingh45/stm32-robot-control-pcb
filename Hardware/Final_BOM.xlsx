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-Digikey" sheetId="1" r:id="rId5"/>
  </sheets>
  <definedNames/>
  <calcPr/>
</workbook>
</file>

<file path=xl/sharedStrings.xml><?xml version="1.0" encoding="utf-8"?>
<sst xmlns="http://schemas.openxmlformats.org/spreadsheetml/2006/main" count="386" uniqueCount="181">
  <si>
    <t>Item</t>
  </si>
  <si>
    <t>Reference Designators</t>
  </si>
  <si>
    <t>Quantity</t>
  </si>
  <si>
    <t>Manufacturer</t>
  </si>
  <si>
    <t>Manufacturer Part #</t>
  </si>
  <si>
    <t>Description/Value</t>
  </si>
  <si>
    <t>Package</t>
  </si>
  <si>
    <t>Mounting Type</t>
  </si>
  <si>
    <t>Unit Cost</t>
  </si>
  <si>
    <t>Total Cost</t>
  </si>
  <si>
    <t>Datasheet</t>
  </si>
  <si>
    <t>Website</t>
  </si>
  <si>
    <t>Instruction/Notes</t>
  </si>
  <si>
    <t>JP7</t>
  </si>
  <si>
    <t>JST Sales America Inc.</t>
  </si>
  <si>
    <t>B4B-XH-A</t>
  </si>
  <si>
    <t>Connector Header 1X04</t>
  </si>
  <si>
    <t>Bulk</t>
  </si>
  <si>
    <t>Through hole</t>
  </si>
  <si>
    <t>Link</t>
  </si>
  <si>
    <t>DNT</t>
  </si>
  <si>
    <t>C22,C24,C35</t>
  </si>
  <si>
    <t>Murata Electronics</t>
  </si>
  <si>
    <t>GRM21BR61A226ME51L</t>
  </si>
  <si>
    <t>22 µF  Capacitor</t>
  </si>
  <si>
    <t>0402 (1005 Metric)</t>
  </si>
  <si>
    <t>Surface Mount</t>
  </si>
  <si>
    <t>R11</t>
  </si>
  <si>
    <t>YAGEO</t>
  </si>
  <si>
    <t>RC0402FR-07240RL</t>
  </si>
  <si>
    <t xml:space="preserve">240 Ohms Resistor </t>
  </si>
  <si>
    <t>C5</t>
  </si>
  <si>
    <t>Samsung Electro-Mechanics</t>
  </si>
  <si>
    <t>CL10A475KP8NNNC</t>
  </si>
  <si>
    <t>4.7 µF Capacitor</t>
  </si>
  <si>
    <t xml:space="preserve">CAM6, CAM8, CAM9, JP11, JP14, JP15, JP4, JP5, JP6, JP9, LS1, LS2, LS3
</t>
  </si>
  <si>
    <t>B1B-XH-AM</t>
  </si>
  <si>
    <t>Connector Header 1X01</t>
  </si>
  <si>
    <t>LED</t>
  </si>
  <si>
    <t>Kingbright</t>
  </si>
  <si>
    <t>WP154A4SEJ3VBDZGC/CA</t>
  </si>
  <si>
    <t>Red, Green, Blue (RGB) 625nm Red, 525nm Green, 470nm Blue LED Indication - Discrete 2.2V Red, 3.3V Green, 3.3V Blue Radial - 4 Leads</t>
  </si>
  <si>
    <t>754-2153-ND</t>
  </si>
  <si>
    <t>U1</t>
  </si>
  <si>
    <t>STMicroelectronics</t>
  </si>
  <si>
    <t>STM32F429VIT6</t>
  </si>
  <si>
    <t xml:space="preserve">STM32F4 Microcontroller IC </t>
  </si>
  <si>
    <t>100-LQFP</t>
  </si>
  <si>
    <t>C10, C12, C19, C27, C28, C29, C30, C31, C32, C37, C40, C48, C49, C7</t>
  </si>
  <si>
    <t>TDK Corporation</t>
  </si>
  <si>
    <t>C1005X7R1C104K050BC</t>
  </si>
  <si>
    <t>0.1 µF Capacitor</t>
  </si>
  <si>
    <t>U2</t>
  </si>
  <si>
    <t>LSM6DSRXTR</t>
  </si>
  <si>
    <t>Accelerometer</t>
  </si>
  <si>
    <t>14-VFLGA Module</t>
  </si>
  <si>
    <t>CAM5, JP10, JP16, PH1, PH2</t>
  </si>
  <si>
    <t>B3B-XH-A</t>
  </si>
  <si>
    <t>Connector Header 1X03</t>
  </si>
  <si>
    <t>IC2</t>
  </si>
  <si>
    <t>Future Technology Devices International</t>
  </si>
  <si>
    <t>FT232RL-REEL</t>
  </si>
  <si>
    <t xml:space="preserve">UART USB Bridge 2.0 </t>
  </si>
  <si>
    <t>28-SSOP</t>
  </si>
  <si>
    <t>Q1</t>
  </si>
  <si>
    <t>Diotec Semiconductor</t>
  </si>
  <si>
    <t>2N3904</t>
  </si>
  <si>
    <t>Bipolar (BJT) Transistor</t>
  </si>
  <si>
    <t>TO-226-3, TO-92-3 (TO-226AA) Formed Leads</t>
  </si>
  <si>
    <t>C2, C4, C42, C44, C6</t>
  </si>
  <si>
    <t xml:space="preserve">0.1 µF Capacitor </t>
  </si>
  <si>
    <t xml:space="preserve">C_BOOT, C_VCC, C_VCC1, CV, C3, C47
</t>
  </si>
  <si>
    <t>CL05A105KP5NNNC</t>
  </si>
  <si>
    <t xml:space="preserve">1 µF  Capacitor </t>
  </si>
  <si>
    <t>USB_A</t>
  </si>
  <si>
    <t>Molex</t>
  </si>
  <si>
    <t>USB-A Connector 4 Position</t>
  </si>
  <si>
    <t>Tray</t>
  </si>
  <si>
    <t>Surface Mount, Right Angle; Through Hole</t>
  </si>
  <si>
    <t>L2, L3</t>
  </si>
  <si>
    <t>Würth Elektronik</t>
  </si>
  <si>
    <t>2.8 µH Inductor</t>
  </si>
  <si>
    <t>Nonstandard</t>
  </si>
  <si>
    <t>J1</t>
  </si>
  <si>
    <t>Phoenix Contact</t>
  </si>
  <si>
    <t xml:space="preserve">WireTerminal </t>
  </si>
  <si>
    <t>Through-hole (Wave soldering)</t>
  </si>
  <si>
    <t xml:space="preserve">IC1, IC3, IC4
</t>
  </si>
  <si>
    <t>Richtek USA Inc.</t>
  </si>
  <si>
    <t>RT7258GSP</t>
  </si>
  <si>
    <t>Buck Regulator</t>
  </si>
  <si>
    <t>8-soic (0.154", 3.90mm Width)</t>
  </si>
  <si>
    <t>R19, R20</t>
  </si>
  <si>
    <t>RC0603FR-0710KL</t>
  </si>
  <si>
    <t>10 kOhms Resistor</t>
  </si>
  <si>
    <t>0603 (1608 Metric)</t>
  </si>
  <si>
    <t>R10</t>
  </si>
  <si>
    <t>RC0402FR-07100KL</t>
  </si>
  <si>
    <t xml:space="preserve">100 kOhms Resistor </t>
  </si>
  <si>
    <t>R3, R5</t>
  </si>
  <si>
    <t>TE Connectivity Passive Product</t>
  </si>
  <si>
    <t>CPF0402B18KE1</t>
  </si>
  <si>
    <t xml:space="preserve">18 kOhms Resistor </t>
  </si>
  <si>
    <t xml:space="preserve">0402 (1005 Metric) </t>
  </si>
  <si>
    <t>R13, R2, R23, R26, R4, R6, R8</t>
  </si>
  <si>
    <t>ST-LINK</t>
  </si>
  <si>
    <t>Amphenol Positronic</t>
  </si>
  <si>
    <t>DF07M30</t>
  </si>
  <si>
    <t>Connector Header 2X07</t>
  </si>
  <si>
    <t>Surface Mount, Right Angle</t>
  </si>
  <si>
    <t>R24, R7</t>
  </si>
  <si>
    <t>Panasonic Electronic Components</t>
  </si>
  <si>
    <t>ERA-2AEB9312X</t>
  </si>
  <si>
    <t xml:space="preserve">93.1 kOhms Resistor </t>
  </si>
  <si>
    <t>C_BOOT1, CB</t>
  </si>
  <si>
    <t>1 µF Capacitor</t>
  </si>
  <si>
    <t>R16, R17, R18, R22</t>
  </si>
  <si>
    <t>RC0402JR-074K7L</t>
  </si>
  <si>
    <t>4.7 kOhms Resistor</t>
  </si>
  <si>
    <t>U3, U5,U4</t>
  </si>
  <si>
    <t>Vishay Siliconix</t>
  </si>
  <si>
    <t>SI7114DN-T1-E3</t>
  </si>
  <si>
    <t xml:space="preserve">N-Channel </t>
  </si>
  <si>
    <t>PowerPAK,1212-8</t>
  </si>
  <si>
    <t>R14</t>
  </si>
  <si>
    <t>ERA-2AEB203X</t>
  </si>
  <si>
    <t xml:space="preserve">20 kOhms Resistor </t>
  </si>
  <si>
    <t>RES</t>
  </si>
  <si>
    <t>100 kOhms Resistor</t>
  </si>
  <si>
    <t>RESET</t>
  </si>
  <si>
    <t>SCHURTER Inc.</t>
  </si>
  <si>
    <t>1301.9314.24</t>
  </si>
  <si>
    <t>Tactile Switch</t>
  </si>
  <si>
    <t>-</t>
  </si>
  <si>
    <t>R12, R15</t>
  </si>
  <si>
    <t>352239RFT</t>
  </si>
  <si>
    <t>39 Ohms Resistor</t>
  </si>
  <si>
    <t>2512 (6332 Metric)</t>
  </si>
  <si>
    <t>L1</t>
  </si>
  <si>
    <t>DFE322512F-4R7M=P2</t>
  </si>
  <si>
    <t xml:space="preserve">4.7 µH Inductor </t>
  </si>
  <si>
    <t>1210 (3225 Metric)</t>
  </si>
  <si>
    <t>R1</t>
  </si>
  <si>
    <t>C11, C13, C14, C16, C18, C21, C23, C25, C26, C33, C34</t>
  </si>
  <si>
    <t>CL21A226MPQNNNE</t>
  </si>
  <si>
    <t>22 Capacitor</t>
  </si>
  <si>
    <t>0805 (2012 Metric)</t>
  </si>
  <si>
    <t>CAM, CAM1, CAM2, CAM3, CAM4, CAM7, EPS32_1, ESP32, ESP32_PW, FAN, JP1, JP13, JP17, JP19, JP2, JP3, JP8, LS_1, LS_2, LS_3, MOT1, MOT2, MOT3, MOT4, US_1, US_2</t>
  </si>
  <si>
    <t>S2B-PH-K-S</t>
  </si>
  <si>
    <t>Connector Header 1X02</t>
  </si>
  <si>
    <t>C16, C18, C21, C23, C25, C26, C33, C34</t>
  </si>
  <si>
    <t>CL10A226MP8NUNE</t>
  </si>
  <si>
    <t xml:space="preserve">22 µF Capacitor </t>
  </si>
  <si>
    <t>R9</t>
  </si>
  <si>
    <t>C1, C20</t>
  </si>
  <si>
    <t>CL05A225MQ5NNNC</t>
  </si>
  <si>
    <t>2.2 µF  Capacitor</t>
  </si>
  <si>
    <t>LInk</t>
  </si>
  <si>
    <t>MOT_IC1, MOT_IC2</t>
  </si>
  <si>
    <t>Toshiba Semiconductor and Storage</t>
  </si>
  <si>
    <t>TB6612FNG,C,8,EL</t>
  </si>
  <si>
    <t xml:space="preserve">IC Motor Driver </t>
  </si>
  <si>
    <t>24-LSSOP (0.220", 5.60mm Width)</t>
  </si>
  <si>
    <t>C15</t>
  </si>
  <si>
    <t>GRM21BR71A106KA73L</t>
  </si>
  <si>
    <t>10 Capacitor</t>
  </si>
  <si>
    <t>C17</t>
  </si>
  <si>
    <t>4.7 µFCapacitor</t>
  </si>
  <si>
    <t>R21</t>
  </si>
  <si>
    <t>11 kOhms Resistor</t>
  </si>
  <si>
    <t>C41, C43, C8, C9</t>
  </si>
  <si>
    <t>CL05A106MP5NUNC</t>
  </si>
  <si>
    <t>10 µF Capacitor</t>
  </si>
  <si>
    <t>RES1</t>
  </si>
  <si>
    <t>RC0402FR-071ML</t>
  </si>
  <si>
    <t xml:space="preserve">1mOhm Resistor </t>
  </si>
  <si>
    <t xml:space="preserve">Link </t>
  </si>
  <si>
    <t>R25</t>
  </si>
  <si>
    <t>ERJ-2RKF6202X</t>
  </si>
  <si>
    <t xml:space="preserve">	
62 kOhms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</si>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</sst>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7">
    <font>
      <sz val="10.0"/>
      <color rgb="FF000000"/>
      <name val="Arial"/>
      <scheme val="minor"/>
    </font>
    <font>
      <i/>
      <sz val="9.0"/>
      <color rgb="FFFFFFFF"/>
      <name val="Arial"/>
    </font>
    <font>
      <b/>
      <i/>
      <sz val="15.0"/>
      <color rgb="FFFFFFFF"/>
      <name val="Arial"/>
    </font>
    <font>
      <color theme="1"/>
      <name val="Arial"/>
    </font>
    <font>
      <i/>
      <sz val="9.0"/>
      <color theme="1"/>
      <name val="Arial"/>
    </font>
    <font>
      <i/>
      <u/>
      <sz val="9.0"/>
      <color theme="1"/>
      <name val="Arial"/>
    </font>
    <font>
      <i/>
      <u/>
      <sz val="9.0"/>
      <color rgb="FF1155CC"/>
      <name val="Arial"/>
    </font>
    <font>
      <u/>
      <color rgb="FF0000FF"/>
      <name val="Arial"/>
    </font>
    <font>
      <i/>
      <u/>
      <sz val="9.0"/>
      <color theme="1"/>
      <name val="Arial"/>
    </font>
    <font>
      <i/>
      <u/>
      <sz val="9.0"/>
      <color rgb="FF1155CC"/>
      <name val="Arial"/>
    </font>
    <font>
      <u/>
      <color rgb="FF0000FF"/>
      <name val="Arial"/>
    </font>
    <font>
      <i/>
      <u/>
      <sz val="9.0"/>
      <color rgb="FF1155CC"/>
      <name val="Arial"/>
    </font>
    <font>
      <i/>
      <u/>
      <sz val="9.0"/>
      <color theme="1"/>
      <name val="Arial"/>
    </font>
    <font>
      <i/>
      <u/>
      <sz val="9.0"/>
      <color rgb="FF1155CC"/>
      <name val="Arial"/>
    </font>
    <font>
      <i/>
      <u/>
      <sz val="9.0"/>
      <color rgb="FF0000FF"/>
      <name val="Arial"/>
    </font>
    <font>
      <i/>
      <sz val="9.0"/>
      <color rgb="FF000000"/>
      <name val="Arial"/>
    </font>
    <font>
      <i/>
      <u/>
      <sz val="9.0"/>
      <color rgb="FF000000"/>
      <name val="Arial"/>
    </font>
    <font>
      <i/>
      <u/>
      <sz val="9.0"/>
      <color rgb="FF000000"/>
      <name val="Arial"/>
    </font>
    <font>
      <sz val="9.0"/>
      <color rgb="FF000000"/>
      <name val="Arial"/>
    </font>
    <font>
      <i/>
      <sz val="9.0"/>
      <color rgb="FF444444"/>
      <name val="Arial"/>
    </font>
    <font>
      <u/>
      <color rgb="FF0000FF"/>
      <name val="Arial"/>
    </font>
    <font>
      <u/>
      <color rgb="FF0000FF"/>
      <name val="Arial"/>
    </font>
    <font>
      <sz val="9.0"/>
      <color rgb="FF222222"/>
      <name val="Roboto"/>
    </font>
    <font>
      <b/>
      <i/>
      <sz val="11.0"/>
      <color theme="1"/>
      <name val="Arial"/>
    </font>
    <font>
      <b/>
      <i/>
      <sz val="11.0"/>
      <color rgb="FFFF0000"/>
      <name val="Arial"/>
    </font>
    <font>
      <b/>
      <i/>
      <u/>
      <sz val="11.0"/>
      <color rgb="FFFF0000"/>
      <name val="Arial"/>
    </font>
    <font>
      <sz val="9.0"/>
      <color rgb="FF000000"/>
      <name val="ArtifaktElement"/>
    </font>
  </fonts>
  <fills count="4">
    <fill>
      <patternFill patternType="none"/>
    </fill>
    <fill>
      <patternFill patternType="lightGray"/>
    </fill>
    <fill>
      <patternFill patternType="solid">
        <fgColor rgb="FF2E5090"/>
        <bgColor rgb="FF2E5090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ont="1">
      <alignment horizontal="left" vertical="bottom"/>
    </xf>
    <xf borderId="2" fillId="2" fontId="1" numFmtId="0" xfId="0" applyAlignment="1" applyBorder="1" applyFont="1">
      <alignment horizontal="left" vertical="top"/>
    </xf>
    <xf borderId="2" fillId="2" fontId="1" numFmtId="164" xfId="0" applyAlignment="1" applyBorder="1" applyFont="1" applyNumberFormat="1">
      <alignment horizontal="left" vertical="top"/>
    </xf>
    <xf borderId="3" fillId="2" fontId="2" numFmtId="0" xfId="0" applyAlignment="1" applyBorder="1" applyFont="1">
      <alignment horizontal="left" vertical="top"/>
    </xf>
    <xf borderId="0" fillId="2" fontId="3" numFmtId="0" xfId="0" applyAlignment="1" applyFont="1">
      <alignment horizontal="left" vertical="bottom"/>
    </xf>
    <xf borderId="4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vertical="bottom"/>
    </xf>
    <xf borderId="5" fillId="0" fontId="4" numFmtId="164" xfId="0" applyAlignment="1" applyBorder="1" applyFont="1" applyNumberFormat="1">
      <alignment horizontal="left" vertical="bottom"/>
    </xf>
    <xf borderId="5" fillId="0" fontId="5" numFmtId="164" xfId="0" applyAlignment="1" applyBorder="1" applyFont="1" applyNumberFormat="1">
      <alignment horizontal="left" vertical="bottom"/>
    </xf>
    <xf borderId="5" fillId="0" fontId="6" numFmtId="0" xfId="0" applyAlignment="1" applyBorder="1" applyFont="1">
      <alignment horizontal="left" vertical="bottom"/>
    </xf>
    <xf borderId="6" fillId="0" fontId="7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top"/>
    </xf>
    <xf borderId="6" fillId="0" fontId="3" numFmtId="0" xfId="0" applyAlignment="1" applyBorder="1" applyFont="1">
      <alignment horizontal="left" vertical="bottom"/>
    </xf>
    <xf borderId="4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shrinkToFit="0" vertical="center" wrapText="0"/>
    </xf>
    <xf borderId="5" fillId="0" fontId="4" numFmtId="164" xfId="0" applyAlignment="1" applyBorder="1" applyFont="1" applyNumberFormat="1">
      <alignment horizontal="left" shrinkToFit="0" vertical="center" wrapText="0"/>
    </xf>
    <xf borderId="5" fillId="0" fontId="8" numFmtId="164" xfId="0" applyAlignment="1" applyBorder="1" applyFont="1" applyNumberFormat="1">
      <alignment horizontal="left" shrinkToFit="0" vertical="center" wrapText="0"/>
    </xf>
    <xf borderId="5" fillId="0" fontId="9" numFmtId="0" xfId="0" applyAlignment="1" applyBorder="1" applyFont="1">
      <alignment horizontal="left" shrinkToFit="0" vertical="center" wrapText="0"/>
    </xf>
    <xf borderId="6" fillId="0" fontId="10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6" fillId="0" fontId="11" numFmtId="0" xfId="0" applyAlignment="1" applyBorder="1" applyFont="1">
      <alignment horizontal="left" vertical="bottom"/>
    </xf>
    <xf borderId="5" fillId="0" fontId="4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shrinkToFit="0" vertical="center" wrapText="1"/>
    </xf>
    <xf borderId="5" fillId="0" fontId="4" numFmtId="164" xfId="0" applyAlignment="1" applyBorder="1" applyFont="1" applyNumberFormat="1">
      <alignment horizontal="left" vertical="center"/>
    </xf>
    <xf borderId="5" fillId="0" fontId="12" numFmtId="164" xfId="0" applyAlignment="1" applyBorder="1" applyFont="1" applyNumberFormat="1">
      <alignment horizontal="left" vertical="center"/>
    </xf>
    <xf borderId="5" fillId="0" fontId="1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5" fillId="0" fontId="14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left" readingOrder="0" vertical="top"/>
    </xf>
    <xf borderId="5" fillId="0" fontId="4" numFmtId="0" xfId="0" applyAlignment="1" applyBorder="1" applyFont="1">
      <alignment horizontal="left" shrinkToFit="0" vertical="bottom" wrapText="1"/>
    </xf>
    <xf borderId="5" fillId="0" fontId="15" numFmtId="0" xfId="0" applyAlignment="1" applyBorder="1" applyFont="1">
      <alignment horizontal="left" vertical="bottom"/>
    </xf>
    <xf borderId="5" fillId="0" fontId="15" numFmtId="0" xfId="0" applyAlignment="1" applyBorder="1" applyFont="1">
      <alignment horizontal="left" vertical="top"/>
    </xf>
    <xf borderId="5" fillId="0" fontId="15" numFmtId="164" xfId="0" applyAlignment="1" applyBorder="1" applyFont="1" applyNumberFormat="1">
      <alignment horizontal="left" vertical="bottom"/>
    </xf>
    <xf borderId="5" fillId="0" fontId="16" numFmtId="164" xfId="0" applyAlignment="1" applyBorder="1" applyFont="1" applyNumberFormat="1">
      <alignment horizontal="left" vertical="bottom"/>
    </xf>
    <xf borderId="5" fillId="0" fontId="17" numFmtId="0" xfId="0" applyAlignment="1" applyBorder="1" applyFont="1">
      <alignment horizontal="left" vertical="bottom"/>
    </xf>
    <xf borderId="0" fillId="0" fontId="18" numFmtId="0" xfId="0" applyAlignment="1" applyFont="1">
      <alignment readingOrder="0" shrinkToFit="0" wrapText="1"/>
    </xf>
    <xf borderId="5" fillId="0" fontId="19" numFmtId="0" xfId="0" applyAlignment="1" applyBorder="1" applyFont="1">
      <alignment horizontal="left" vertical="bottom"/>
    </xf>
    <xf borderId="5" fillId="0" fontId="4" numFmtId="164" xfId="0" applyAlignment="1" applyBorder="1" applyFont="1" applyNumberFormat="1">
      <alignment horizontal="left" readingOrder="0" vertical="bottom"/>
    </xf>
    <xf borderId="5" fillId="0" fontId="20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left" readingOrder="0" shrinkToFit="0" vertical="bottom" wrapText="0"/>
    </xf>
    <xf borderId="7" fillId="0" fontId="21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left" readingOrder="0" shrinkToFit="0" vertical="top" wrapText="0"/>
    </xf>
    <xf borderId="5" fillId="3" fontId="22" numFmtId="164" xfId="0" applyAlignment="1" applyBorder="1" applyFill="1" applyFont="1" applyNumberFormat="1">
      <alignment horizontal="right" readingOrder="0" shrinkToFit="0" wrapText="0"/>
    </xf>
    <xf borderId="5" fillId="0" fontId="3" numFmtId="0" xfId="0" applyAlignment="1" applyBorder="1" applyFont="1">
      <alignment horizontal="left" vertical="bottom"/>
    </xf>
    <xf borderId="5" fillId="0" fontId="3" numFmtId="0" xfId="0" applyAlignment="1" applyBorder="1" applyFont="1">
      <alignment horizontal="left" vertical="top"/>
    </xf>
    <xf borderId="0" fillId="0" fontId="23" numFmtId="0" xfId="0" applyAlignment="1" applyFont="1">
      <alignment horizontal="left" vertical="bottom"/>
    </xf>
    <xf borderId="5" fillId="0" fontId="24" numFmtId="164" xfId="0" applyAlignment="1" applyBorder="1" applyFont="1" applyNumberFormat="1">
      <alignment horizontal="left" vertical="bottom"/>
    </xf>
    <xf borderId="5" fillId="0" fontId="25" numFmtId="164" xfId="0" applyAlignment="1" applyBorder="1" applyFont="1" applyNumberFormat="1">
      <alignment horizontal="left" vertical="bottom"/>
    </xf>
    <xf borderId="0" fillId="3" fontId="26" numFmtId="0" xfId="0" applyAlignment="1" applyFont="1">
      <alignment readingOrder="0"/>
    </xf>
    <xf borderId="0" fillId="0" fontId="3" numFmtId="164" xfId="0" applyAlignment="1" applyFont="1" applyNumberFormat="1">
      <alignment horizontal="left" vertical="bottom"/>
    </xf>
    <xf borderId="8" fillId="0" fontId="3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left" vertical="bottom"/>
    </xf>
    <xf borderId="3" fillId="0" fontId="3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left" vertical="bottom"/>
    </xf>
    <xf borderId="9" fillId="0" fontId="3" numFmtId="0" xfId="0" applyAlignment="1" applyBorder="1" applyFont="1">
      <alignment horizontal="left" vertical="bottom"/>
    </xf>
    <xf borderId="10" fillId="0" fontId="3" numFmtId="0" xfId="0" applyAlignment="1" applyBorder="1" applyFont="1">
      <alignment horizontal="left" vertical="bottom"/>
    </xf>
    <xf borderId="7" fillId="0" fontId="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phoenix-contact/1017503/9346604" TargetMode="External"/><Relationship Id="rId42" Type="http://schemas.openxmlformats.org/officeDocument/2006/relationships/hyperlink" Target="https://www.digikey.com/en/products/detail/richtek-usa-inc/RT7258GSP/3503828" TargetMode="External"/><Relationship Id="rId41" Type="http://schemas.openxmlformats.org/officeDocument/2006/relationships/hyperlink" Target="https://drive.google.com/file/d/1BxTxwfJhr2AKTYy_Nv285g8NytwkJ0E0/view?usp=sharing" TargetMode="External"/><Relationship Id="rId44" Type="http://schemas.openxmlformats.org/officeDocument/2006/relationships/hyperlink" Target="https://www.digikey.com/en/products/detail/yageo/RC0603FR-0710KL/726880" TargetMode="External"/><Relationship Id="rId43" Type="http://schemas.openxmlformats.org/officeDocument/2006/relationships/hyperlink" Target="https://www.yageogroup.com/content/datasheet/asset/file/PYU-RC_GROUP_51_ROHS_L" TargetMode="External"/><Relationship Id="rId46" Type="http://schemas.openxmlformats.org/officeDocument/2006/relationships/hyperlink" Target="https://www.digikey.com/en/products/detail/yageo/RC0402FR-07100KL/726526?gclsrc=aw.ds&amp;gad_source=1&amp;gad_campaignid=120565755&amp;gbraid=0AAAAADrbLlh40BGXE9Dz1S7CJzf3qkIoX&amp;gclid=Cj0KCQiAuvTJBhCwARIsAL6DemjlimZKyJfPftdl83erY8EaRO7YdNkF1ojAfQYrylYcJxBMrVKttcUaAm6FEALw_wcB" TargetMode="External"/><Relationship Id="rId45" Type="http://schemas.openxmlformats.org/officeDocument/2006/relationships/hyperlink" Target="https://www.yageogroup.com/content/datasheet/asset/file/PYU-RC_GROUP_51_ROHS_L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https://www.digikey.com/en/products/detail/panasonic-electronic-components/ERJ-2RKF6202X/1746262" TargetMode="External"/><Relationship Id="rId48" Type="http://schemas.openxmlformats.org/officeDocument/2006/relationships/hyperlink" Target="https://www.digikey.com/en/products/detail/te-connectivity-passive-product/CPF0402B18KE1/2381834" TargetMode="External"/><Relationship Id="rId47" Type="http://schemas.openxmlformats.org/officeDocument/2006/relationships/hyperlink" Target="https://www.te.com/commerce/DocumentDelivery/DDEController?Action=srchrtrv&amp;DocNm=1773200&amp;DocType=Data%20Sheet&amp;DocLang=English&amp;DocFormat=pdf&amp;PartCntxt=1879061-3" TargetMode="External"/><Relationship Id="rId49" Type="http://schemas.openxmlformats.org/officeDocument/2006/relationships/hyperlink" Target="https://www.yageogroup.com/content/datasheet/asset/file/PYU-RC_GROUP_51_ROHS_L" TargetMode="External"/><Relationship Id="rId103" Type="http://schemas.openxmlformats.org/officeDocument/2006/relationships/hyperlink" Target="https://industrial.panasonic.com/cdbs/www-data/pdf/RDA0000/AOA0000C304.pdf" TargetMode="External"/><Relationship Id="rId102" Type="http://schemas.openxmlformats.org/officeDocument/2006/relationships/hyperlink" Target="https://www.digikey.com/en/products/detail/yageo/RC0402FR-071ML/726515?gclsrc=aw.ds&amp;gad_source=1&amp;gad_campaignid=120565755&amp;gbraid=0AAAAADrbLliq04roZ5NnBY676Is82x9Pj&amp;gclid=Cj0KCQiA-YvMBhDtARIsAHZuUzJ3saxhW3QmTQt2CyiyY2Mhoq4xgTzHUb2PQV2yC33HTYHZ22BF2mIaAixEEALw_wcB" TargetMode="External"/><Relationship Id="rId101" Type="http://schemas.openxmlformats.org/officeDocument/2006/relationships/hyperlink" Target="https://www.digikey.com/en/products/detail/yageo/RC0402FR-071ML/726515" TargetMode="External"/><Relationship Id="rId100" Type="http://schemas.openxmlformats.org/officeDocument/2006/relationships/hyperlink" Target="https://www.yageogroup.com/content/datasheet/asset/file/PYU-RC_GROUP_51_ROHS_L" TargetMode="External"/><Relationship Id="rId31" Type="http://schemas.openxmlformats.org/officeDocument/2006/relationships/hyperlink" Target="https://www.digikey.com/en/products/detail/tdk-corporation/C1005X7R1C104K050BC/2093220" TargetMode="External"/><Relationship Id="rId30" Type="http://schemas.openxmlformats.org/officeDocument/2006/relationships/hyperlink" Target="https://product.tdk.com/system/files/dam/doc/product/capacitor/ceramic/mlcc/catalog/mlcc_commercial_general_en.pdf" TargetMode="External"/><Relationship Id="rId33" Type="http://schemas.openxmlformats.org/officeDocument/2006/relationships/hyperlink" Target="https://www.digikey.com/en/products/detail/samsung-electro-mechanics/CL05A105KP5NNNC/3886734?_gl=1*1qayp6j*_up*MQ..*_gs*MQ..&amp;gclid=Cj0KCQiAuvTJBhCwARIsAL6DemiRkTghenh3CPJaf_gmSsFUFLP5ctm2GjChqULqLGusowDPKZwiXdsaAoqPEALw_wcB&amp;gclsrc=aw.ds&amp;gbraid=0AAAAADrbLlh40BGXE9Dz1S7CJzf3qkIoX" TargetMode="External"/><Relationship Id="rId32" Type="http://schemas.openxmlformats.org/officeDocument/2006/relationships/hyperlink" Target="https://mm.digikey.com/Volume0/opasdata/d220001/medias/docus/2384/CL05A105KP5NNN_Specsheet%20%281%29.pdf?_gl=1*1qayp6j*_up*MQ..*_gs*MQ..&amp;gclid=Cj0KCQiAuvTJBhCwARIsAL6DemiRkTghenh3CPJaf_gmSsFUFLP5ctm2GjChqULqLGusowDPKZwiXdsaAoqPEALw_wcB&amp;gclsrc=aw.ds&amp;gbraid=0AAAAADrbLlh40BGXE9Dz1S7CJzf3qkIoX" TargetMode="External"/><Relationship Id="rId35" Type="http://schemas.openxmlformats.org/officeDocument/2006/relationships/hyperlink" Target="https://www.digikey.com/en/products/detail/molex/0480371000/857604" TargetMode="External"/><Relationship Id="rId34" Type="http://schemas.openxmlformats.org/officeDocument/2006/relationships/hyperlink" Target="https://www.molex.com/content/dam/molex/molex-dot-com/products/automated/en-us/salesdrawingpdf/480/48037/480371000_sd.pdf?inline" TargetMode="External"/><Relationship Id="rId37" Type="http://schemas.openxmlformats.org/officeDocument/2006/relationships/hyperlink" Target="https://www.we-online.com/components/products/datasheet/7443551280.pdf" TargetMode="External"/><Relationship Id="rId36" Type="http://schemas.openxmlformats.org/officeDocument/2006/relationships/hyperlink" Target="https://www.digikey.com/en/products/detail/molex/0480371000/857604" TargetMode="External"/><Relationship Id="rId39" Type="http://schemas.openxmlformats.org/officeDocument/2006/relationships/hyperlink" Target="https://mm.digikey.com/Volume0/opasdata/d220001/medias/docus/896/1017503_Ds.pdf" TargetMode="External"/><Relationship Id="rId38" Type="http://schemas.openxmlformats.org/officeDocument/2006/relationships/hyperlink" Target="https://www.digikey.com/en/products/detail/w%C3%BCrth-elektronik/7443551280/1638531" TargetMode="External"/><Relationship Id="rId20" Type="http://schemas.openxmlformats.org/officeDocument/2006/relationships/hyperlink" Target="https://www.digikey.com/en/products/detail/tdk-corporation/C1005X7R1C104K050BC/2093220?gclsrc=aw.ds&amp;gad_source=1&amp;gad_campaignid=120565755&amp;gbraid=0AAAAADrbLlh40BGXE9Dz1S7CJzf3qkIoX&amp;gclid=Cj0KCQiAuvTJBhCwARIsAL6Demivnf5RRkQpHRhekYqyGOgcmI8lgyXX_Qj28d7QHAY5rnUD2Jjdj4oaAv6hEALw_wcB" TargetMode="External"/><Relationship Id="rId22" Type="http://schemas.openxmlformats.org/officeDocument/2006/relationships/hyperlink" Target="https://www.digikey.com/en/products/detail/stmicroelectronics/LSM6DSRXTR/10414337" TargetMode="External"/><Relationship Id="rId21" Type="http://schemas.openxmlformats.org/officeDocument/2006/relationships/hyperlink" Target="https://www.st.com/resource/en/datasheet/lsm6dsrx.pdf" TargetMode="External"/><Relationship Id="rId24" Type="http://schemas.openxmlformats.org/officeDocument/2006/relationships/hyperlink" Target="https://www.digikey.com/en/products/detail/jst-sales-america-inc/B3B-XH-A/1651046" TargetMode="External"/><Relationship Id="rId23" Type="http://schemas.openxmlformats.org/officeDocument/2006/relationships/hyperlink" Target="https://www.jst-mfg.com/product/pdf/eng/eXH.pdf" TargetMode="External"/><Relationship Id="rId26" Type="http://schemas.openxmlformats.org/officeDocument/2006/relationships/hyperlink" Target="https://ftdichip.com/wp-content/uploads/2020/08/DS_FT232R.pdf" TargetMode="External"/><Relationship Id="rId25" Type="http://schemas.openxmlformats.org/officeDocument/2006/relationships/hyperlink" Target="https://www.digikey.com/en/products/detail/w%C3%BCrth-elektronik/61300311121/4846825" TargetMode="External"/><Relationship Id="rId28" Type="http://schemas.openxmlformats.org/officeDocument/2006/relationships/hyperlink" Target="https://diotec.com/request/datasheet/2n3904.pdf" TargetMode="External"/><Relationship Id="rId27" Type="http://schemas.openxmlformats.org/officeDocument/2006/relationships/hyperlink" Target="https://ftdichip.com/products/ft232rl/" TargetMode="External"/><Relationship Id="rId29" Type="http://schemas.openxmlformats.org/officeDocument/2006/relationships/hyperlink" Target="https://www.digikey.com/en/products/detail/stmicroelectronics/2N3904/603420" TargetMode="External"/><Relationship Id="rId95" Type="http://schemas.openxmlformats.org/officeDocument/2006/relationships/hyperlink" Target="https://www.yageogroup.com/content/datasheet/asset/file/PYU-RC_GROUP_51_ROHS_L" TargetMode="External"/><Relationship Id="rId94" Type="http://schemas.openxmlformats.org/officeDocument/2006/relationships/hyperlink" Target="https://www.digikey.com/en/products/detail/samsung-electro-mechanics/CL10A475KP8NNNC/3886702" TargetMode="External"/><Relationship Id="rId97" Type="http://schemas.openxmlformats.org/officeDocument/2006/relationships/hyperlink" Target="https://www.digikey.com/en/products/detail/yageo/RC0603FR-0711KL/726897" TargetMode="External"/><Relationship Id="rId96" Type="http://schemas.openxmlformats.org/officeDocument/2006/relationships/hyperlink" Target="https://www.digikey.com/en/products/detail/yageo/RC0603FR-0710KL/726880" TargetMode="External"/><Relationship Id="rId11" Type="http://schemas.openxmlformats.org/officeDocument/2006/relationships/hyperlink" Target="https://www.jst-mfg.com/product/pdf/eng/eXH.pdf" TargetMode="External"/><Relationship Id="rId99" Type="http://schemas.openxmlformats.org/officeDocument/2006/relationships/hyperlink" Target="https://www.digikey.com/en/products/detail/samsung-electro-mechanics/CL05A106MP5NUNC/3887108" TargetMode="External"/><Relationship Id="rId10" Type="http://schemas.openxmlformats.org/officeDocument/2006/relationships/hyperlink" Target="https://www.digikey.com/en/products/detail/samsung-electro-mechanics/CL05A475MP5NRNC/3887140" TargetMode="External"/><Relationship Id="rId98" Type="http://schemas.openxmlformats.org/officeDocument/2006/relationships/hyperlink" Target="https://mm.digikey.com/Volume0/opasdata/d220001/medias/docus/2614/CL05A106MP5NUNC_Spec.pdf" TargetMode="External"/><Relationship Id="rId13" Type="http://schemas.openxmlformats.org/officeDocument/2006/relationships/hyperlink" Target="https://www.digikey.com/en/products/detail/amphenol-cs-fci/861400011YO2LF/5201723" TargetMode="External"/><Relationship Id="rId12" Type="http://schemas.openxmlformats.org/officeDocument/2006/relationships/hyperlink" Target="https://www.digikey.com/en/products/detail/jst-sales-america-inc/B1B-XH-AM/1651025" TargetMode="External"/><Relationship Id="rId91" Type="http://schemas.openxmlformats.org/officeDocument/2006/relationships/hyperlink" Target="https://www.digikey.com/en/products/detail/murata-electronics/GRM21BR71A106KA73L/5027600?_gl=1*prnv8j*_up*MQ..*_gs*MQ..&amp;gclid=Cj0KCQiAuvTJBhCwARIsAL6DemgATG4kmD_vTH90Mm1zUsIY8D36oGoOC5_wm1sDBld7eR-TyRws-SoaAo8zEALw_wcB&amp;gclsrc=aw.ds&amp;gbraid=0AAAAADrbLlh40BGXE9Dz1S7CJzf3qkIoX" TargetMode="External"/><Relationship Id="rId90" Type="http://schemas.openxmlformats.org/officeDocument/2006/relationships/hyperlink" Target="https://search.murata.co.jp/Ceramy/image/img/A01X/G101/ENG/GRM21BR71A106KA73-01.pdf" TargetMode="External"/><Relationship Id="rId93" Type="http://schemas.openxmlformats.org/officeDocument/2006/relationships/hyperlink" Target="https://mm.digikey.com/Volume0/opasdata/d220001/medias/docus/609/CL10A475KP8NNNC_Spec.pdf" TargetMode="External"/><Relationship Id="rId92" Type="http://schemas.openxmlformats.org/officeDocument/2006/relationships/hyperlink" Target="https://www.mouser.com/ProductDetail/TAIYO-YUDEN/MBASL168BB5106MTNA01?qs=tlsG%2FOw5FFiWnia%252B9QDAZA%3D%3D" TargetMode="External"/><Relationship Id="rId15" Type="http://schemas.openxmlformats.org/officeDocument/2006/relationships/hyperlink" Target="https://www.digikey.com/en/products/detail/kingbright/WP154A4SEJ3VBDZGC-CA/7597097" TargetMode="External"/><Relationship Id="rId14" Type="http://schemas.openxmlformats.org/officeDocument/2006/relationships/hyperlink" Target="https://www.kingbrightusa.com/images/catalog/SPEC/WP154A4SEJ3VBDZGC-CA.pdf" TargetMode="External"/><Relationship Id="rId17" Type="http://schemas.openxmlformats.org/officeDocument/2006/relationships/hyperlink" Target="https://www.st.com/content/ccc/resource/technical/document/datasheet/03/b4/b2/36/4c/72/49/29/DM00071990.pdf/files/DM00071990.pdf/jcr:content/translations/en.DM00071990.pdf" TargetMode="External"/><Relationship Id="rId16" Type="http://schemas.openxmlformats.org/officeDocument/2006/relationships/hyperlink" Target="https://www.amazon.com/Tricolor-Multicolor-Lighting-Electronics-Components/dp/B01C19ENDM/?_encoding=UTF8&amp;pd_rd_w=9l5lv&amp;content-id=amzn1.sym.4efc43db-939e-4a80-abaf-50c6a6b8c631%3Aamzn1.symc.5a16118f-86f0-44cd-8e3e-6c5f82df43d0&amp;pf_rd_p=4efc43db-939e-4a80-abaf-50c6a6b8c631&amp;pf_rd_r=KHW6TEB986W1CP1YP03E&amp;pd_rd_wg=KgxeQ&amp;pd_rd_r=52c3d440-b16d-4d68-8014-e667185e211d&amp;ref_=pd_hp_d_atf_ci_mcx_mr_ca_hp_atf_d&amp;th=1" TargetMode="External"/><Relationship Id="rId19" Type="http://schemas.openxmlformats.org/officeDocument/2006/relationships/hyperlink" Target="https://product.tdk.com/system/files/dam/doc/product/capacitor/ceramic/mlcc/catalog/mlcc_commercial_general_en.pdf" TargetMode="External"/><Relationship Id="rId18" Type="http://schemas.openxmlformats.org/officeDocument/2006/relationships/hyperlink" Target="https://www.digikey.com/en/products/detail/stmicroelectronics/STM32F429VIT6/4357425" TargetMode="External"/><Relationship Id="rId84" Type="http://schemas.openxmlformats.org/officeDocument/2006/relationships/hyperlink" Target="https://www.yageogroup.com/content/datasheet/asset/file/PYU-RC_GROUP_51_ROHS_L" TargetMode="External"/><Relationship Id="rId83" Type="http://schemas.openxmlformats.org/officeDocument/2006/relationships/hyperlink" Target="https://www.digikey.com/en/products/detail/samsung-electro-mechanics/CL10A226MP8NUNE/3886932?gclsrc=aw.ds&amp;gad_source=1&amp;gad_campaignid=120565755&amp;gbraid=0AAAAADrbLlh40BGXE9Dz1S7CJzf3qkIoX&amp;gclid=Cj0KCQiAuvTJBhCwARIsAL6DemjdFQKABqGCn1I8oZEV-_EG5lidMl54m51H6r_PB-hsrbR8QVQbMCwaApYKEALw_wcB" TargetMode="External"/><Relationship Id="rId86" Type="http://schemas.openxmlformats.org/officeDocument/2006/relationships/hyperlink" Target="https://mm.digikey.com/Volume0/opasdata/d220001/medias/docus/2614/CL05A225MQ5NNNC_Spec.pdf" TargetMode="External"/><Relationship Id="rId85" Type="http://schemas.openxmlformats.org/officeDocument/2006/relationships/hyperlink" Target="https://www.digikey.com/en/products/detail/yageo/RC0402JR-074K7L/726477?gclsrc=aw.ds&amp;gad_source=1&amp;gad_campaignid=120565755&amp;gbraid=0AAAAADrbLlh40BGXE9Dz1S7CJzf3qkIoX&amp;gclid=Cj0KCQiAuvTJBhCwARIsAL6DemjmVSbcozKbhm837nk1LZp57O6lPU4bkqhOLpMQsn2c2rLVNMutCqkaAj78EALw_wcB" TargetMode="External"/><Relationship Id="rId88" Type="http://schemas.openxmlformats.org/officeDocument/2006/relationships/hyperlink" Target="https://toshiba.semicon-storage.com/info/TB6612FNG_datasheet_en_20141001.pdf?did=10660&amp;prodName=TB6612FNG" TargetMode="External"/><Relationship Id="rId87" Type="http://schemas.openxmlformats.org/officeDocument/2006/relationships/hyperlink" Target="https://www.digikey.com/en/products/detail/samsung-electro-mechanics/CL05A225MQ5NNNC/3887127" TargetMode="External"/><Relationship Id="rId89" Type="http://schemas.openxmlformats.org/officeDocument/2006/relationships/hyperlink" Target="https://www.digikey.com/en/products/detail/toshiba-semiconductor-and-storage/TB6612FNG-C-8-EL/1730070" TargetMode="External"/><Relationship Id="rId80" Type="http://schemas.openxmlformats.org/officeDocument/2006/relationships/hyperlink" Target="https://www.digikey.com/en/products/detail/jst-sales-america-inc/B2B-XH-A/1651045?gclsrc=aw.ds&amp;gad_source=1&amp;gad_campaignid=120565755&amp;gbraid=0AAAAADrbLlh40BGXE9Dz1S7CJzf3qkIoX&amp;gclid=Cj0KCQiAuvTJBhCwARIsAL6Demh8OhILTJzhJj_IzHpN9sUje_2MUQmem1aRm81C_1x6wn5YUuMxsqsaAurUEALw_wcB" TargetMode="External"/><Relationship Id="rId82" Type="http://schemas.openxmlformats.org/officeDocument/2006/relationships/hyperlink" Target="https://mm.digikey.com/Volume0/opasdata/d220001/medias/docus/2901/CL10A226MP8NUNC_Spec.pdf" TargetMode="External"/><Relationship Id="rId81" Type="http://schemas.openxmlformats.org/officeDocument/2006/relationships/hyperlink" Target="https://www.digikey.com/en/products/detail/mill-max-manufacturing-corp/800-10-002-20-001000/7762570" TargetMode="External"/><Relationship Id="rId1" Type="http://schemas.openxmlformats.org/officeDocument/2006/relationships/hyperlink" Target="https://www.jst-mfg.com/product/pdf/eng/eXH.pdf" TargetMode="External"/><Relationship Id="rId2" Type="http://schemas.openxmlformats.org/officeDocument/2006/relationships/hyperlink" Target="https://www.digikey.com/en/products/detail/jst-sales-america-inc/B4B-XH-A/1651047" TargetMode="External"/><Relationship Id="rId3" Type="http://schemas.openxmlformats.org/officeDocument/2006/relationships/hyperlink" Target="https://www.digikey.com/en/products/detail/3m/929400-01-04/681075?gclsrc=aw.ds&amp;gad_source=1&amp;gad_campaignid=20234014242&amp;gbraid=0AAAAADrbLlgAc8EG8zteBR-SxBoCRRJWP&amp;gclid=Cj0KCQiA-YvMBhDtARIsAHZuUzIvdA7tNSEJBG6-abSoZKEoA9m-Gwz28lmLNqwrNKfolWTDwxBEqfoaAnhKEALw_wcB" TargetMode="External"/><Relationship Id="rId4" Type="http://schemas.openxmlformats.org/officeDocument/2006/relationships/hyperlink" Target="https://search.murata.co.jp/Ceramy/image/img/A01X/G101/ENG/GRM21BR61A226ME51-01.pdf" TargetMode="External"/><Relationship Id="rId9" Type="http://schemas.openxmlformats.org/officeDocument/2006/relationships/hyperlink" Target="https://www.digikey.com/en/products/detail/samsung-electro-mechanics/CL10A475KP8NNNC/3886702" TargetMode="External"/><Relationship Id="rId5" Type="http://schemas.openxmlformats.org/officeDocument/2006/relationships/hyperlink" Target="https://www.digikey.com/en/products/detail/murata-electronics/GRM21BR61A226ME51L/5027595" TargetMode="External"/><Relationship Id="rId6" Type="http://schemas.openxmlformats.org/officeDocument/2006/relationships/hyperlink" Target="https://www.yageogroup.com/content/datasheet/asset/file/PYU-RC_GROUP_51_ROHS_L" TargetMode="External"/><Relationship Id="rId7" Type="http://schemas.openxmlformats.org/officeDocument/2006/relationships/hyperlink" Target="https://www.digikey.com/en/products/detail/yageo/RC0402FR-07240RL/2827564?gclsrc=aw.ds&amp;gad_source=1&amp;gad_campaignid=120565755&amp;gbraid=0AAAAADrbLlh40BGXE9Dz1S7CJzf3qkIoX&amp;gclid=Cj0KCQiAuvTJBhCwARIsAL6DemirbDK4rAr7NyrPKgEtA0nzxrjkK3Rz-F7c2jeTerui_Bt-L946JggaAs9hEALw_wcB" TargetMode="External"/><Relationship Id="rId8" Type="http://schemas.openxmlformats.org/officeDocument/2006/relationships/hyperlink" Target="https://mm.digikey.com/Volume0/opasdata/d220001/medias/docus/609/CL10A475KP8NNNC_Spec.pdf" TargetMode="External"/><Relationship Id="rId73" Type="http://schemas.openxmlformats.org/officeDocument/2006/relationships/hyperlink" Target="https://www.digikey.com/en/products/detail/murata-electronics/DFE322512F-4R7M-P2/9815916" TargetMode="External"/><Relationship Id="rId72" Type="http://schemas.openxmlformats.org/officeDocument/2006/relationships/hyperlink" Target="https://search.murata.co.jp/Ceramy/image/img/P02/J(E)TE243A-0019.pdf" TargetMode="External"/><Relationship Id="rId75" Type="http://schemas.openxmlformats.org/officeDocument/2006/relationships/hyperlink" Target="https://www.digikey.com/en/products/detail/yageo/RC0603FR-0710KL/726880" TargetMode="External"/><Relationship Id="rId74" Type="http://schemas.openxmlformats.org/officeDocument/2006/relationships/hyperlink" Target="https://www.yageogroup.com/content/datasheet/asset/file/PYU-RC_GROUP_51_ROHS_L" TargetMode="External"/><Relationship Id="rId77" Type="http://schemas.openxmlformats.org/officeDocument/2006/relationships/hyperlink" Target="https://www.digikey.com/en/products/detail/samsung-electro-mechanics/CL21A226MPQNNNE/3888568" TargetMode="External"/><Relationship Id="rId76" Type="http://schemas.openxmlformats.org/officeDocument/2006/relationships/hyperlink" Target="https://mm.digikey.com/Volume0/opasdata/d220001/medias/docus/6697/CL21A226MPQNNN.pdf" TargetMode="External"/><Relationship Id="rId79" Type="http://schemas.openxmlformats.org/officeDocument/2006/relationships/hyperlink" Target="https://www.jst-mfg.com/product/pdf/eng/eXH.pdf" TargetMode="External"/><Relationship Id="rId78" Type="http://schemas.openxmlformats.org/officeDocument/2006/relationships/hyperlink" Target="https://www.mouser.com/ProductDetail/YAGEO/CC0603MRX5R6BB226?qs=IvkZ4pJZlB3K%252BVkAL36Ang%3D%3D" TargetMode="External"/><Relationship Id="rId71" Type="http://schemas.openxmlformats.org/officeDocument/2006/relationships/hyperlink" Target="https://www.digikey.com/en/products/detail/vishay-dale/RCS040239R0FKED/5867540" TargetMode="External"/><Relationship Id="rId70" Type="http://schemas.openxmlformats.org/officeDocument/2006/relationships/hyperlink" Target="https://www.digikey.com/en/products/detail/te-connectivity-passive-product/352239RFT/5245088" TargetMode="External"/><Relationship Id="rId62" Type="http://schemas.openxmlformats.org/officeDocument/2006/relationships/hyperlink" Target="https://industrial.panasonic.com/cdbs/www-data/pdf/RDM0000/AOA0000C307.pdf" TargetMode="External"/><Relationship Id="rId61" Type="http://schemas.openxmlformats.org/officeDocument/2006/relationships/hyperlink" Target="https://www.digikey.com/en/products/detail/vishay-siliconix/SI7114DN-T1-E3/1656585" TargetMode="External"/><Relationship Id="rId64" Type="http://schemas.openxmlformats.org/officeDocument/2006/relationships/hyperlink" Target="https://www.yageogroup.com/content/datasheet/asset/file/PYU-RC_GROUP_51_ROHS_L" TargetMode="External"/><Relationship Id="rId63" Type="http://schemas.openxmlformats.org/officeDocument/2006/relationships/hyperlink" Target="https://www.digikey.com/en/products/detail/panasonic-electronic-components/ERA-2AEB203X/1706036" TargetMode="External"/><Relationship Id="rId66" Type="http://schemas.openxmlformats.org/officeDocument/2006/relationships/hyperlink" Target="https://www.schurter.com/en/datasheet/typ_6x6_mm_tact_switches.pdf" TargetMode="External"/><Relationship Id="rId65" Type="http://schemas.openxmlformats.org/officeDocument/2006/relationships/hyperlink" Target="https://www.digikey.com/en/products/detail/yageo/RC0402FR-07100KL/726526" TargetMode="External"/><Relationship Id="rId68" Type="http://schemas.openxmlformats.org/officeDocument/2006/relationships/hyperlink" Target="https://www.digikey.com/en/products/detail/c-k/PTS645SH43-2-LFS/3861368" TargetMode="External"/><Relationship Id="rId67" Type="http://schemas.openxmlformats.org/officeDocument/2006/relationships/hyperlink" Target="https://www.digikey.com/en/products/detail/schurter-inc/1301-9314-24/8536716" TargetMode="External"/><Relationship Id="rId60" Type="http://schemas.openxmlformats.org/officeDocument/2006/relationships/hyperlink" Target="https://www.vishay.com/docs/73039/si7114dn.pdf" TargetMode="External"/><Relationship Id="rId69" Type="http://schemas.openxmlformats.org/officeDocument/2006/relationships/hyperlink" Target="https://www.te.com/commerce/DocumentDelivery/DDEController?Action=srchrtrv&amp;DocNm=9-1773463-7&amp;DocType=Data%20Sheet&amp;DocLang=English&amp;DocFormat=pdf&amp;PartCntxt=1-2176230-0" TargetMode="External"/><Relationship Id="rId51" Type="http://schemas.openxmlformats.org/officeDocument/2006/relationships/hyperlink" Target="https://mm.digikey.com/Volume0/opasdata/d220001/medias/docus/6155/C030revC_Autoshunt.pdf" TargetMode="External"/><Relationship Id="rId50" Type="http://schemas.openxmlformats.org/officeDocument/2006/relationships/hyperlink" Target="https://www.digikey.com/en/products/detail/yageo/RC0402FR-07100KL/726526?gclsrc=aw.ds&amp;gad_source=1&amp;gad_campaignid=120565755&amp;gbraid=0AAAAADrbLlh40BGXE9Dz1S7CJzf3qkIoX&amp;gclid=Cj0KCQiAuvTJBhCwARIsAL6DemiIdBWGpj8j-cIvPvQygpupWYpUxqJDMWSK1669Pf0u1I-cAyoVf7caAjvaEALw_wcB" TargetMode="External"/><Relationship Id="rId53" Type="http://schemas.openxmlformats.org/officeDocument/2006/relationships/hyperlink" Target="https://www.digikey.com/en/products/detail/samtec-inc/TSW-107-07-F-D/6679083" TargetMode="External"/><Relationship Id="rId52" Type="http://schemas.openxmlformats.org/officeDocument/2006/relationships/hyperlink" Target="https://www.digikey.com/en/products/detail/amphenol-positronic/DF07M30/18675597" TargetMode="External"/><Relationship Id="rId55" Type="http://schemas.openxmlformats.org/officeDocument/2006/relationships/hyperlink" Target="https://www.digikey.com/en/products/detail/panasonic-electronic-components/ERA-2AEB9312X/2026231" TargetMode="External"/><Relationship Id="rId54" Type="http://schemas.openxmlformats.org/officeDocument/2006/relationships/hyperlink" Target="https://industrial.panasonic.com/cdbs/www-data/pdf/RDM0000/AOA0000C307.pdf" TargetMode="External"/><Relationship Id="rId57" Type="http://schemas.openxmlformats.org/officeDocument/2006/relationships/hyperlink" Target="https://www.digikey.com/en/products/detail/samsung-electro-mechanics/CL05A105KP5NNNC/3886734?_gl=1*1qayp6j*_up*MQ..*_gs*MQ..&amp;gclid=Cj0KCQiAuvTJBhCwARIsAL6DemiRkTghenh3CPJaf_gmSsFUFLP5ctm2GjChqULqLGusowDPKZwiXdsaAoqPEALw_wcB&amp;gclsrc=aw.ds&amp;gbraid=0AAAAADrbLlh40BGXE9Dz1S7CJzf3qkIoX" TargetMode="External"/><Relationship Id="rId56" Type="http://schemas.openxmlformats.org/officeDocument/2006/relationships/hyperlink" Target="https://mm.digikey.com/Volume0/opasdata/d220001/medias/docus/2384/CL05A105KP5NNN_Specsheet%20%281%29.pdf?_gl=1*1qayp6j*_up*MQ..*_gs*MQ..&amp;gclid=Cj0KCQiAuvTJBhCwARIsAL6DemiRkTghenh3CPJaf_gmSsFUFLP5ctm2GjChqULqLGusowDPKZwiXdsaAoqPEALw_wcB&amp;gclsrc=aw.ds&amp;gbraid=0AAAAADrbLlh40BGXE9Dz1S7CJzf3qkIoX" TargetMode="External"/><Relationship Id="rId59" Type="http://schemas.openxmlformats.org/officeDocument/2006/relationships/hyperlink" Target="https://www.digikey.com/en/products/detail/yageo/RC0402JR-074K7L/726477" TargetMode="External"/><Relationship Id="rId58" Type="http://schemas.openxmlformats.org/officeDocument/2006/relationships/hyperlink" Target="https://www.yageogroup.com/content/datasheet/asset/file/PYU-RC_GROUP_51_ROHS_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1.13"/>
    <col customWidth="1" min="3" max="3" width="12.13"/>
    <col customWidth="1" min="4" max="4" width="39.63"/>
    <col customWidth="1" min="5" max="5" width="32.5"/>
    <col customWidth="1" min="6" max="6" width="32.25"/>
    <col customWidth="1" min="7" max="7" width="3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>
        <v>1.0</v>
      </c>
      <c r="B2" s="8" t="s">
        <v>13</v>
      </c>
      <c r="C2" s="8">
        <v>1.0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10">
        <v>0.14</v>
      </c>
      <c r="J2" s="11">
        <f t="shared" ref="J2:J45" si="1">I2*C2</f>
        <v>0.14</v>
      </c>
      <c r="K2" s="12" t="s">
        <v>10</v>
      </c>
      <c r="L2" s="12" t="s">
        <v>19</v>
      </c>
      <c r="M2" s="13" t="s">
        <v>19</v>
      </c>
      <c r="N2" s="14" t="s">
        <v>20</v>
      </c>
      <c r="O2" s="15"/>
      <c r="P2" s="15"/>
      <c r="Q2" s="15"/>
      <c r="R2" s="15"/>
      <c r="S2" s="15"/>
      <c r="T2" s="15"/>
      <c r="U2" s="15"/>
      <c r="V2" s="16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>
      <c r="A3" s="7">
        <v>2.0</v>
      </c>
      <c r="B3" s="8" t="s">
        <v>21</v>
      </c>
      <c r="C3" s="8">
        <v>3.0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10">
        <v>0.19</v>
      </c>
      <c r="J3" s="11">
        <f t="shared" si="1"/>
        <v>0.57</v>
      </c>
      <c r="K3" s="12" t="s">
        <v>10</v>
      </c>
      <c r="L3" s="12" t="s">
        <v>19</v>
      </c>
      <c r="M3" s="17"/>
      <c r="N3" s="15"/>
      <c r="O3" s="15"/>
      <c r="P3" s="15"/>
      <c r="Q3" s="15"/>
      <c r="R3" s="15"/>
      <c r="S3" s="15"/>
      <c r="T3" s="15"/>
      <c r="U3" s="15"/>
      <c r="V3" s="16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>
      <c r="A4" s="7">
        <v>3.0</v>
      </c>
      <c r="B4" s="8" t="s">
        <v>27</v>
      </c>
      <c r="C4" s="8">
        <v>1.0</v>
      </c>
      <c r="D4" s="9" t="s">
        <v>28</v>
      </c>
      <c r="E4" s="9" t="s">
        <v>29</v>
      </c>
      <c r="F4" s="9" t="s">
        <v>30</v>
      </c>
      <c r="G4" s="8" t="s">
        <v>25</v>
      </c>
      <c r="H4" s="9" t="s">
        <v>26</v>
      </c>
      <c r="I4" s="10">
        <v>0.1</v>
      </c>
      <c r="J4" s="11">
        <f t="shared" si="1"/>
        <v>0.1</v>
      </c>
      <c r="K4" s="12" t="s">
        <v>10</v>
      </c>
      <c r="L4" s="12" t="s">
        <v>19</v>
      </c>
      <c r="M4" s="17"/>
      <c r="N4" s="15"/>
      <c r="O4" s="15"/>
      <c r="P4" s="15"/>
      <c r="Q4" s="15"/>
      <c r="R4" s="15"/>
      <c r="S4" s="15"/>
      <c r="T4" s="15"/>
      <c r="U4" s="15"/>
      <c r="V4" s="16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>
      <c r="A5" s="7">
        <v>4.0</v>
      </c>
      <c r="B5" s="8" t="s">
        <v>31</v>
      </c>
      <c r="C5" s="8">
        <v>1.0</v>
      </c>
      <c r="D5" s="9" t="s">
        <v>32</v>
      </c>
      <c r="E5" s="9" t="s">
        <v>33</v>
      </c>
      <c r="F5" s="9" t="s">
        <v>34</v>
      </c>
      <c r="G5" s="9" t="s">
        <v>25</v>
      </c>
      <c r="H5" s="9" t="s">
        <v>26</v>
      </c>
      <c r="I5" s="10">
        <v>0.8</v>
      </c>
      <c r="J5" s="11">
        <f t="shared" si="1"/>
        <v>0.8</v>
      </c>
      <c r="K5" s="12" t="s">
        <v>10</v>
      </c>
      <c r="L5" s="12" t="s">
        <v>19</v>
      </c>
      <c r="M5" s="13" t="s">
        <v>19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>
      <c r="A6" s="18">
        <v>5.0</v>
      </c>
      <c r="B6" s="19" t="s">
        <v>35</v>
      </c>
      <c r="C6" s="20">
        <v>13.0</v>
      </c>
      <c r="D6" s="20" t="s">
        <v>14</v>
      </c>
      <c r="E6" s="20" t="s">
        <v>36</v>
      </c>
      <c r="F6" s="20" t="s">
        <v>37</v>
      </c>
      <c r="G6" s="20" t="s">
        <v>17</v>
      </c>
      <c r="H6" s="20" t="s">
        <v>18</v>
      </c>
      <c r="I6" s="21">
        <v>0.19</v>
      </c>
      <c r="J6" s="22">
        <f t="shared" si="1"/>
        <v>2.47</v>
      </c>
      <c r="K6" s="23" t="s">
        <v>10</v>
      </c>
      <c r="L6" s="23" t="s">
        <v>19</v>
      </c>
      <c r="M6" s="24" t="s">
        <v>19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>
      <c r="A7" s="7">
        <v>6.0</v>
      </c>
      <c r="B7" s="8" t="s">
        <v>38</v>
      </c>
      <c r="C7" s="8">
        <v>1.0</v>
      </c>
      <c r="D7" s="9" t="s">
        <v>39</v>
      </c>
      <c r="E7" s="9" t="s">
        <v>40</v>
      </c>
      <c r="F7" s="9" t="s">
        <v>41</v>
      </c>
      <c r="G7" s="9" t="s">
        <v>42</v>
      </c>
      <c r="H7" s="9" t="s">
        <v>18</v>
      </c>
      <c r="I7" s="10">
        <v>2.2</v>
      </c>
      <c r="J7" s="11">
        <f t="shared" si="1"/>
        <v>2.2</v>
      </c>
      <c r="K7" s="12" t="s">
        <v>10</v>
      </c>
      <c r="L7" s="12" t="s">
        <v>19</v>
      </c>
      <c r="M7" s="13" t="s">
        <v>19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>
      <c r="A8" s="7">
        <v>7.0</v>
      </c>
      <c r="B8" s="8" t="s">
        <v>43</v>
      </c>
      <c r="C8" s="8">
        <v>1.0</v>
      </c>
      <c r="D8" s="9" t="s">
        <v>44</v>
      </c>
      <c r="E8" s="9" t="s">
        <v>45</v>
      </c>
      <c r="F8" s="9" t="s">
        <v>46</v>
      </c>
      <c r="G8" s="9" t="s">
        <v>47</v>
      </c>
      <c r="H8" s="9" t="s">
        <v>26</v>
      </c>
      <c r="I8" s="10">
        <v>14.28</v>
      </c>
      <c r="J8" s="11">
        <f t="shared" si="1"/>
        <v>14.28</v>
      </c>
      <c r="K8" s="12" t="s">
        <v>10</v>
      </c>
      <c r="L8" s="12" t="s">
        <v>19</v>
      </c>
      <c r="M8" s="17"/>
      <c r="N8" s="15"/>
      <c r="O8" s="15"/>
      <c r="P8" s="15"/>
      <c r="Q8" s="15"/>
      <c r="R8" s="15"/>
      <c r="S8" s="15"/>
      <c r="T8" s="15"/>
      <c r="U8" s="15"/>
      <c r="V8" s="16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>
      <c r="A9" s="7">
        <v>8.0</v>
      </c>
      <c r="B9" s="9" t="s">
        <v>48</v>
      </c>
      <c r="C9" s="9">
        <v>14.0</v>
      </c>
      <c r="D9" s="9" t="s">
        <v>49</v>
      </c>
      <c r="E9" s="9" t="s">
        <v>50</v>
      </c>
      <c r="F9" s="9" t="s">
        <v>51</v>
      </c>
      <c r="G9" s="9" t="s">
        <v>25</v>
      </c>
      <c r="H9" s="9" t="s">
        <v>26</v>
      </c>
      <c r="I9" s="10">
        <v>0.1</v>
      </c>
      <c r="J9" s="11">
        <f t="shared" si="1"/>
        <v>1.4</v>
      </c>
      <c r="K9" s="12" t="s">
        <v>10</v>
      </c>
      <c r="L9" s="26" t="s">
        <v>19</v>
      </c>
      <c r="M9" s="17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>
      <c r="A10" s="7">
        <v>9.0</v>
      </c>
      <c r="B10" s="8" t="s">
        <v>52</v>
      </c>
      <c r="C10" s="8">
        <v>1.0</v>
      </c>
      <c r="D10" s="9" t="s">
        <v>44</v>
      </c>
      <c r="E10" s="9" t="s">
        <v>53</v>
      </c>
      <c r="F10" s="9" t="s">
        <v>54</v>
      </c>
      <c r="G10" s="9" t="s">
        <v>55</v>
      </c>
      <c r="H10" s="9" t="s">
        <v>26</v>
      </c>
      <c r="I10" s="10">
        <v>4.58</v>
      </c>
      <c r="J10" s="11">
        <f t="shared" si="1"/>
        <v>4.58</v>
      </c>
      <c r="K10" s="12" t="s">
        <v>10</v>
      </c>
      <c r="L10" s="12" t="s">
        <v>19</v>
      </c>
      <c r="M10" s="17"/>
      <c r="N10" s="15"/>
      <c r="O10" s="15"/>
      <c r="P10" s="15"/>
      <c r="Q10" s="15"/>
      <c r="R10" s="15"/>
      <c r="S10" s="15"/>
      <c r="T10" s="15"/>
      <c r="U10" s="15"/>
      <c r="V10" s="16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>
      <c r="A11" s="7">
        <v>10.0</v>
      </c>
      <c r="B11" s="9" t="s">
        <v>56</v>
      </c>
      <c r="C11" s="9">
        <v>5.0</v>
      </c>
      <c r="D11" s="9" t="s">
        <v>14</v>
      </c>
      <c r="E11" s="9" t="s">
        <v>57</v>
      </c>
      <c r="F11" s="9" t="s">
        <v>58</v>
      </c>
      <c r="G11" s="9" t="s">
        <v>17</v>
      </c>
      <c r="H11" s="9" t="s">
        <v>18</v>
      </c>
      <c r="I11" s="10">
        <v>0.11</v>
      </c>
      <c r="J11" s="11">
        <f t="shared" si="1"/>
        <v>0.55</v>
      </c>
      <c r="K11" s="12" t="s">
        <v>10</v>
      </c>
      <c r="L11" s="12" t="s">
        <v>19</v>
      </c>
      <c r="M11" s="13" t="s">
        <v>19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>
      <c r="A12" s="7">
        <v>12.0</v>
      </c>
      <c r="B12" s="8" t="s">
        <v>59</v>
      </c>
      <c r="C12" s="8">
        <v>1.0</v>
      </c>
      <c r="D12" s="27" t="s">
        <v>60</v>
      </c>
      <c r="E12" s="9" t="s">
        <v>61</v>
      </c>
      <c r="F12" s="9" t="s">
        <v>62</v>
      </c>
      <c r="G12" s="9" t="s">
        <v>63</v>
      </c>
      <c r="H12" s="9" t="s">
        <v>26</v>
      </c>
      <c r="I12" s="10">
        <v>4.95</v>
      </c>
      <c r="J12" s="11">
        <f t="shared" si="1"/>
        <v>4.95</v>
      </c>
      <c r="K12" s="12" t="s">
        <v>10</v>
      </c>
      <c r="L12" s="12" t="s">
        <v>19</v>
      </c>
      <c r="M12" s="17"/>
      <c r="N12" s="15"/>
      <c r="O12" s="15"/>
      <c r="P12" s="15"/>
      <c r="Q12" s="15"/>
      <c r="R12" s="15"/>
      <c r="S12" s="15"/>
      <c r="T12" s="15"/>
      <c r="U12" s="15"/>
      <c r="V12" s="16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>
      <c r="A13" s="7">
        <v>13.0</v>
      </c>
      <c r="B13" s="8" t="s">
        <v>64</v>
      </c>
      <c r="C13" s="8">
        <v>1.0</v>
      </c>
      <c r="D13" s="9" t="s">
        <v>65</v>
      </c>
      <c r="E13" s="9" t="s">
        <v>66</v>
      </c>
      <c r="F13" s="9" t="s">
        <v>67</v>
      </c>
      <c r="G13" s="9" t="s">
        <v>68</v>
      </c>
      <c r="H13" s="9" t="s">
        <v>18</v>
      </c>
      <c r="I13" s="10">
        <v>0.28</v>
      </c>
      <c r="J13" s="11">
        <f t="shared" si="1"/>
        <v>0.28</v>
      </c>
      <c r="K13" s="12" t="s">
        <v>10</v>
      </c>
      <c r="L13" s="12" t="s">
        <v>19</v>
      </c>
      <c r="M13" s="17"/>
      <c r="N13" s="15"/>
      <c r="O13" s="15"/>
      <c r="P13" s="15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>
      <c r="A14" s="7">
        <v>14.0</v>
      </c>
      <c r="B14" s="9" t="s">
        <v>69</v>
      </c>
      <c r="C14" s="9">
        <v>5.0</v>
      </c>
      <c r="D14" s="9" t="s">
        <v>49</v>
      </c>
      <c r="E14" s="9" t="s">
        <v>50</v>
      </c>
      <c r="F14" s="9" t="s">
        <v>70</v>
      </c>
      <c r="G14" s="9" t="s">
        <v>25</v>
      </c>
      <c r="H14" s="9" t="s">
        <v>26</v>
      </c>
      <c r="I14" s="10">
        <v>0.1</v>
      </c>
      <c r="J14" s="11">
        <f t="shared" si="1"/>
        <v>0.5</v>
      </c>
      <c r="K14" s="12" t="s">
        <v>10</v>
      </c>
      <c r="L14" s="26" t="s">
        <v>19</v>
      </c>
      <c r="M14" s="17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>
      <c r="A15" s="28">
        <v>15.0</v>
      </c>
      <c r="B15" s="29" t="s">
        <v>71</v>
      </c>
      <c r="C15" s="29">
        <v>6.0</v>
      </c>
      <c r="D15" s="30" t="s">
        <v>32</v>
      </c>
      <c r="E15" s="30" t="s">
        <v>72</v>
      </c>
      <c r="F15" s="31" t="s">
        <v>73</v>
      </c>
      <c r="G15" s="30" t="s">
        <v>25</v>
      </c>
      <c r="H15" s="30" t="s">
        <v>26</v>
      </c>
      <c r="I15" s="32">
        <v>0.08</v>
      </c>
      <c r="J15" s="33">
        <f t="shared" si="1"/>
        <v>0.48</v>
      </c>
      <c r="K15" s="34" t="s">
        <v>10</v>
      </c>
      <c r="L15" s="34" t="s">
        <v>19</v>
      </c>
      <c r="M15" s="35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</row>
    <row r="16">
      <c r="A16" s="7">
        <v>16.0</v>
      </c>
      <c r="B16" s="8" t="s">
        <v>74</v>
      </c>
      <c r="C16" s="8">
        <v>1.0</v>
      </c>
      <c r="D16" s="9" t="s">
        <v>75</v>
      </c>
      <c r="E16" s="9">
        <v>4.80371E8</v>
      </c>
      <c r="F16" s="9" t="s">
        <v>76</v>
      </c>
      <c r="G16" s="9" t="s">
        <v>77</v>
      </c>
      <c r="H16" s="9" t="s">
        <v>78</v>
      </c>
      <c r="I16" s="10">
        <v>1.43</v>
      </c>
      <c r="J16" s="11">
        <f t="shared" si="1"/>
        <v>1.43</v>
      </c>
      <c r="K16" s="12" t="s">
        <v>10</v>
      </c>
      <c r="L16" s="12" t="s">
        <v>19</v>
      </c>
      <c r="M16" s="12" t="s">
        <v>19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>
      <c r="A17" s="7">
        <v>17.0</v>
      </c>
      <c r="B17" s="9" t="s">
        <v>79</v>
      </c>
      <c r="C17" s="9">
        <v>2.0</v>
      </c>
      <c r="D17" s="9" t="s">
        <v>80</v>
      </c>
      <c r="E17" s="9">
        <v>7.44355128E9</v>
      </c>
      <c r="F17" s="9" t="s">
        <v>81</v>
      </c>
      <c r="G17" s="9" t="s">
        <v>82</v>
      </c>
      <c r="H17" s="9" t="s">
        <v>26</v>
      </c>
      <c r="I17" s="10">
        <v>3.48</v>
      </c>
      <c r="J17" s="11">
        <f t="shared" si="1"/>
        <v>6.96</v>
      </c>
      <c r="K17" s="12" t="s">
        <v>10</v>
      </c>
      <c r="L17" s="12" t="s">
        <v>19</v>
      </c>
      <c r="M17" s="17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>
      <c r="A18" s="7">
        <v>18.0</v>
      </c>
      <c r="B18" s="8" t="s">
        <v>83</v>
      </c>
      <c r="C18" s="8">
        <v>1.0</v>
      </c>
      <c r="D18" s="9" t="s">
        <v>84</v>
      </c>
      <c r="E18" s="9">
        <v>1017503.0</v>
      </c>
      <c r="F18" s="9" t="s">
        <v>85</v>
      </c>
      <c r="G18" s="9" t="s">
        <v>17</v>
      </c>
      <c r="H18" s="9" t="s">
        <v>86</v>
      </c>
      <c r="I18" s="10">
        <v>1.06</v>
      </c>
      <c r="J18" s="11">
        <f t="shared" si="1"/>
        <v>1.06</v>
      </c>
      <c r="K18" s="12" t="s">
        <v>10</v>
      </c>
      <c r="L18" s="12" t="s">
        <v>19</v>
      </c>
      <c r="M18" s="17"/>
      <c r="N18" s="15"/>
      <c r="O18" s="15"/>
      <c r="P18" s="15"/>
      <c r="Q18" s="15"/>
      <c r="R18" s="15"/>
      <c r="S18" s="15"/>
      <c r="T18" s="15"/>
      <c r="U18" s="15"/>
      <c r="V18" s="16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>
      <c r="A19" s="7">
        <v>19.0</v>
      </c>
      <c r="B19" s="27" t="s">
        <v>87</v>
      </c>
      <c r="C19" s="9">
        <v>3.0</v>
      </c>
      <c r="D19" s="9" t="s">
        <v>88</v>
      </c>
      <c r="E19" s="9" t="s">
        <v>89</v>
      </c>
      <c r="F19" s="9" t="s">
        <v>90</v>
      </c>
      <c r="G19" s="9" t="s">
        <v>91</v>
      </c>
      <c r="H19" s="9" t="s">
        <v>26</v>
      </c>
      <c r="I19" s="10">
        <v>2.32</v>
      </c>
      <c r="J19" s="11">
        <f t="shared" si="1"/>
        <v>6.96</v>
      </c>
      <c r="K19" s="12" t="s">
        <v>10</v>
      </c>
      <c r="L19" s="12" t="s">
        <v>19</v>
      </c>
      <c r="M19" s="17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>
      <c r="A20" s="7">
        <v>20.0</v>
      </c>
      <c r="B20" s="9" t="s">
        <v>92</v>
      </c>
      <c r="C20" s="9">
        <v>2.0</v>
      </c>
      <c r="D20" s="9" t="s">
        <v>28</v>
      </c>
      <c r="E20" s="9" t="s">
        <v>93</v>
      </c>
      <c r="F20" s="9" t="s">
        <v>94</v>
      </c>
      <c r="G20" s="8" t="s">
        <v>95</v>
      </c>
      <c r="H20" s="9" t="s">
        <v>26</v>
      </c>
      <c r="I20" s="10">
        <v>0.1</v>
      </c>
      <c r="J20" s="11">
        <f t="shared" si="1"/>
        <v>0.2</v>
      </c>
      <c r="K20" s="12" t="s">
        <v>10</v>
      </c>
      <c r="L20" s="12" t="s">
        <v>19</v>
      </c>
      <c r="M20" s="17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>
      <c r="A21" s="7">
        <v>21.0</v>
      </c>
      <c r="B21" s="8" t="s">
        <v>96</v>
      </c>
      <c r="C21" s="8">
        <v>1.0</v>
      </c>
      <c r="D21" s="9" t="s">
        <v>28</v>
      </c>
      <c r="E21" s="9" t="s">
        <v>97</v>
      </c>
      <c r="F21" s="9" t="s">
        <v>98</v>
      </c>
      <c r="G21" s="8" t="s">
        <v>25</v>
      </c>
      <c r="H21" s="9" t="s">
        <v>26</v>
      </c>
      <c r="I21" s="10">
        <v>0.1</v>
      </c>
      <c r="J21" s="11">
        <f t="shared" si="1"/>
        <v>0.1</v>
      </c>
      <c r="K21" s="12" t="s">
        <v>10</v>
      </c>
      <c r="L21" s="12" t="s">
        <v>19</v>
      </c>
      <c r="M21" s="17"/>
      <c r="N21" s="15"/>
      <c r="O21" s="15"/>
      <c r="P21" s="15"/>
      <c r="Q21" s="15"/>
      <c r="R21" s="15"/>
      <c r="S21" s="15"/>
      <c r="T21" s="15"/>
      <c r="U21" s="15"/>
      <c r="V21" s="16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>
      <c r="A22" s="7">
        <v>22.0</v>
      </c>
      <c r="B22" s="9" t="s">
        <v>99</v>
      </c>
      <c r="C22" s="9">
        <v>2.0</v>
      </c>
      <c r="D22" s="9" t="s">
        <v>100</v>
      </c>
      <c r="E22" s="9" t="s">
        <v>101</v>
      </c>
      <c r="F22" s="9" t="s">
        <v>102</v>
      </c>
      <c r="G22" s="8" t="s">
        <v>103</v>
      </c>
      <c r="H22" s="9" t="s">
        <v>26</v>
      </c>
      <c r="I22" s="10">
        <v>0.23</v>
      </c>
      <c r="J22" s="11">
        <f t="shared" si="1"/>
        <v>0.46</v>
      </c>
      <c r="K22" s="12" t="s">
        <v>10</v>
      </c>
      <c r="L22" s="37" t="s">
        <v>19</v>
      </c>
      <c r="M22" s="17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>
      <c r="A23" s="7">
        <v>23.0</v>
      </c>
      <c r="B23" s="9" t="s">
        <v>104</v>
      </c>
      <c r="C23" s="9">
        <v>7.0</v>
      </c>
      <c r="D23" s="9" t="s">
        <v>28</v>
      </c>
      <c r="E23" s="9" t="s">
        <v>97</v>
      </c>
      <c r="F23" s="9" t="s">
        <v>98</v>
      </c>
      <c r="G23" s="8" t="s">
        <v>25</v>
      </c>
      <c r="H23" s="9" t="s">
        <v>26</v>
      </c>
      <c r="I23" s="10">
        <v>0.1</v>
      </c>
      <c r="J23" s="11">
        <f t="shared" si="1"/>
        <v>0.7</v>
      </c>
      <c r="K23" s="12" t="s">
        <v>10</v>
      </c>
      <c r="L23" s="12" t="s">
        <v>19</v>
      </c>
      <c r="M23" s="17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>
      <c r="A24" s="7">
        <v>24.0</v>
      </c>
      <c r="B24" s="38" t="s">
        <v>105</v>
      </c>
      <c r="C24" s="8">
        <v>1.0</v>
      </c>
      <c r="D24" s="9" t="s">
        <v>106</v>
      </c>
      <c r="E24" s="9" t="s">
        <v>107</v>
      </c>
      <c r="F24" s="27" t="s">
        <v>108</v>
      </c>
      <c r="G24" s="9" t="s">
        <v>17</v>
      </c>
      <c r="H24" s="9" t="s">
        <v>109</v>
      </c>
      <c r="I24" s="10">
        <v>18.18</v>
      </c>
      <c r="J24" s="11">
        <f t="shared" si="1"/>
        <v>18.18</v>
      </c>
      <c r="K24" s="12" t="s">
        <v>10</v>
      </c>
      <c r="L24" s="12" t="s">
        <v>19</v>
      </c>
      <c r="M24" s="13" t="s">
        <v>19</v>
      </c>
      <c r="N24" s="15"/>
      <c r="O24" s="15"/>
      <c r="P24" s="15"/>
      <c r="Q24" s="15"/>
      <c r="R24" s="15"/>
      <c r="S24" s="15"/>
      <c r="T24" s="15"/>
      <c r="U24" s="15"/>
      <c r="V24" s="16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>
      <c r="A25" s="7">
        <v>25.0</v>
      </c>
      <c r="B25" s="9" t="s">
        <v>110</v>
      </c>
      <c r="C25" s="9">
        <v>2.0</v>
      </c>
      <c r="D25" s="9" t="s">
        <v>111</v>
      </c>
      <c r="E25" s="9" t="s">
        <v>112</v>
      </c>
      <c r="F25" s="9" t="s">
        <v>113</v>
      </c>
      <c r="G25" s="8" t="s">
        <v>25</v>
      </c>
      <c r="H25" s="9" t="s">
        <v>26</v>
      </c>
      <c r="I25" s="10">
        <v>0.1</v>
      </c>
      <c r="J25" s="11">
        <f t="shared" si="1"/>
        <v>0.2</v>
      </c>
      <c r="K25" s="12" t="s">
        <v>10</v>
      </c>
      <c r="L25" s="12" t="s">
        <v>19</v>
      </c>
      <c r="M25" s="17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>
      <c r="A26" s="7">
        <v>26.0</v>
      </c>
      <c r="B26" s="38" t="s">
        <v>114</v>
      </c>
      <c r="C26" s="38">
        <v>2.0</v>
      </c>
      <c r="D26" s="9" t="s">
        <v>32</v>
      </c>
      <c r="E26" s="9" t="s">
        <v>72</v>
      </c>
      <c r="F26" s="39" t="s">
        <v>115</v>
      </c>
      <c r="G26" s="9" t="s">
        <v>25</v>
      </c>
      <c r="H26" s="9" t="s">
        <v>26</v>
      </c>
      <c r="I26" s="10">
        <v>0.08</v>
      </c>
      <c r="J26" s="11">
        <f t="shared" si="1"/>
        <v>0.16</v>
      </c>
      <c r="K26" s="12" t="s">
        <v>10</v>
      </c>
      <c r="L26" s="12" t="s">
        <v>19</v>
      </c>
      <c r="M26" s="17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>
      <c r="A27" s="7">
        <v>27.0</v>
      </c>
      <c r="B27" s="9" t="s">
        <v>116</v>
      </c>
      <c r="C27" s="9">
        <v>4.0</v>
      </c>
      <c r="D27" s="9" t="s">
        <v>28</v>
      </c>
      <c r="E27" s="9" t="s">
        <v>117</v>
      </c>
      <c r="F27" s="9" t="s">
        <v>118</v>
      </c>
      <c r="G27" s="8" t="s">
        <v>25</v>
      </c>
      <c r="H27" s="9" t="s">
        <v>26</v>
      </c>
      <c r="I27" s="10">
        <v>0.1</v>
      </c>
      <c r="J27" s="11">
        <f t="shared" si="1"/>
        <v>0.4</v>
      </c>
      <c r="K27" s="12" t="s">
        <v>10</v>
      </c>
      <c r="L27" s="12" t="s">
        <v>19</v>
      </c>
      <c r="M27" s="17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>
      <c r="A28" s="7">
        <v>28.0</v>
      </c>
      <c r="B28" s="9" t="s">
        <v>119</v>
      </c>
      <c r="C28" s="27">
        <v>3.0</v>
      </c>
      <c r="D28" s="9" t="s">
        <v>120</v>
      </c>
      <c r="E28" s="9" t="s">
        <v>121</v>
      </c>
      <c r="F28" s="9" t="s">
        <v>122</v>
      </c>
      <c r="G28" s="9" t="s">
        <v>123</v>
      </c>
      <c r="H28" s="9" t="s">
        <v>26</v>
      </c>
      <c r="I28" s="10">
        <v>2.96</v>
      </c>
      <c r="J28" s="11">
        <f t="shared" si="1"/>
        <v>8.88</v>
      </c>
      <c r="K28" s="12" t="s">
        <v>10</v>
      </c>
      <c r="L28" s="12" t="s">
        <v>19</v>
      </c>
      <c r="M28" s="17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>
      <c r="A29" s="7">
        <v>29.0</v>
      </c>
      <c r="B29" s="8" t="s">
        <v>124</v>
      </c>
      <c r="C29" s="8">
        <v>1.0</v>
      </c>
      <c r="D29" s="27" t="s">
        <v>111</v>
      </c>
      <c r="E29" s="27" t="s">
        <v>125</v>
      </c>
      <c r="F29" s="27" t="s">
        <v>126</v>
      </c>
      <c r="G29" s="8" t="s">
        <v>103</v>
      </c>
      <c r="H29" s="9" t="s">
        <v>26</v>
      </c>
      <c r="I29" s="10">
        <v>0.1</v>
      </c>
      <c r="J29" s="11">
        <f t="shared" si="1"/>
        <v>0.1</v>
      </c>
      <c r="K29" s="37" t="s">
        <v>10</v>
      </c>
      <c r="L29" s="37" t="s">
        <v>19</v>
      </c>
      <c r="M29" s="17"/>
      <c r="N29" s="15"/>
      <c r="O29" s="15"/>
      <c r="P29" s="15"/>
      <c r="Q29" s="15"/>
      <c r="R29" s="15"/>
      <c r="S29" s="15"/>
      <c r="T29" s="15"/>
      <c r="U29" s="15"/>
      <c r="V29" s="16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>
      <c r="A30" s="7">
        <v>30.0</v>
      </c>
      <c r="B30" s="8" t="s">
        <v>127</v>
      </c>
      <c r="C30" s="8">
        <v>1.0</v>
      </c>
      <c r="D30" s="9" t="s">
        <v>28</v>
      </c>
      <c r="E30" s="9" t="s">
        <v>97</v>
      </c>
      <c r="F30" s="9" t="s">
        <v>128</v>
      </c>
      <c r="G30" s="8" t="s">
        <v>25</v>
      </c>
      <c r="H30" s="9" t="s">
        <v>26</v>
      </c>
      <c r="I30" s="10">
        <v>0.1</v>
      </c>
      <c r="J30" s="11">
        <f t="shared" si="1"/>
        <v>0.1</v>
      </c>
      <c r="K30" s="12" t="s">
        <v>10</v>
      </c>
      <c r="L30" s="12" t="s">
        <v>19</v>
      </c>
      <c r="M30" s="17"/>
      <c r="N30" s="15"/>
      <c r="O30" s="15"/>
      <c r="P30" s="15"/>
      <c r="Q30" s="15"/>
      <c r="R30" s="15"/>
      <c r="S30" s="15"/>
      <c r="T30" s="15"/>
      <c r="U30" s="15"/>
      <c r="V30" s="16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>
      <c r="A31" s="7">
        <v>31.0</v>
      </c>
      <c r="B31" s="8" t="s">
        <v>129</v>
      </c>
      <c r="C31" s="8">
        <v>1.0</v>
      </c>
      <c r="D31" s="9" t="s">
        <v>130</v>
      </c>
      <c r="E31" s="9" t="s">
        <v>131</v>
      </c>
      <c r="F31" s="9" t="s">
        <v>132</v>
      </c>
      <c r="G31" s="9" t="s">
        <v>133</v>
      </c>
      <c r="H31" s="9" t="s">
        <v>26</v>
      </c>
      <c r="I31" s="10">
        <v>0.47</v>
      </c>
      <c r="J31" s="11">
        <f t="shared" si="1"/>
        <v>0.47</v>
      </c>
      <c r="K31" s="12" t="s">
        <v>10</v>
      </c>
      <c r="L31" s="12" t="s">
        <v>19</v>
      </c>
      <c r="M31" s="13" t="s">
        <v>19</v>
      </c>
      <c r="N31" s="15"/>
      <c r="O31" s="15"/>
      <c r="P31" s="15"/>
      <c r="Q31" s="15"/>
      <c r="R31" s="15"/>
      <c r="S31" s="15"/>
      <c r="T31" s="15"/>
      <c r="U31" s="15"/>
      <c r="V31" s="16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>
      <c r="A32" s="7">
        <v>32.0</v>
      </c>
      <c r="B32" s="40" t="s">
        <v>134</v>
      </c>
      <c r="C32" s="40">
        <v>2.0</v>
      </c>
      <c r="D32" s="40" t="s">
        <v>100</v>
      </c>
      <c r="E32" s="40" t="s">
        <v>135</v>
      </c>
      <c r="F32" s="40" t="s">
        <v>136</v>
      </c>
      <c r="G32" s="41" t="s">
        <v>137</v>
      </c>
      <c r="H32" s="40" t="s">
        <v>26</v>
      </c>
      <c r="I32" s="42">
        <v>1.05</v>
      </c>
      <c r="J32" s="43">
        <f t="shared" si="1"/>
        <v>2.1</v>
      </c>
      <c r="K32" s="44" t="s">
        <v>10</v>
      </c>
      <c r="L32" s="44" t="s">
        <v>19</v>
      </c>
      <c r="M32" s="13" t="s">
        <v>19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>
      <c r="A33" s="7">
        <v>33.0</v>
      </c>
      <c r="B33" s="8" t="s">
        <v>138</v>
      </c>
      <c r="C33" s="8">
        <v>1.0</v>
      </c>
      <c r="D33" s="9" t="s">
        <v>22</v>
      </c>
      <c r="E33" s="9" t="s">
        <v>139</v>
      </c>
      <c r="F33" s="9" t="s">
        <v>140</v>
      </c>
      <c r="G33" s="9" t="s">
        <v>141</v>
      </c>
      <c r="H33" s="9" t="s">
        <v>26</v>
      </c>
      <c r="I33" s="10">
        <v>0.44</v>
      </c>
      <c r="J33" s="11">
        <f t="shared" si="1"/>
        <v>0.44</v>
      </c>
      <c r="K33" s="12" t="s">
        <v>10</v>
      </c>
      <c r="L33" s="12" t="s">
        <v>19</v>
      </c>
      <c r="M33" s="17"/>
      <c r="N33" s="15"/>
      <c r="O33" s="15"/>
      <c r="P33" s="15"/>
      <c r="Q33" s="15"/>
      <c r="R33" s="15"/>
      <c r="S33" s="15"/>
      <c r="T33" s="15"/>
      <c r="U33" s="15"/>
      <c r="V33" s="16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>
      <c r="A34" s="7">
        <v>34.0</v>
      </c>
      <c r="B34" s="8" t="s">
        <v>142</v>
      </c>
      <c r="C34" s="8">
        <v>1.0</v>
      </c>
      <c r="D34" s="9" t="s">
        <v>28</v>
      </c>
      <c r="E34" s="9" t="s">
        <v>93</v>
      </c>
      <c r="F34" s="9" t="s">
        <v>94</v>
      </c>
      <c r="G34" s="8" t="s">
        <v>95</v>
      </c>
      <c r="H34" s="9" t="s">
        <v>26</v>
      </c>
      <c r="I34" s="10">
        <v>0.1</v>
      </c>
      <c r="J34" s="11">
        <f t="shared" si="1"/>
        <v>0.1</v>
      </c>
      <c r="K34" s="12" t="s">
        <v>10</v>
      </c>
      <c r="L34" s="12" t="s">
        <v>19</v>
      </c>
      <c r="M34" s="17"/>
      <c r="N34" s="15"/>
      <c r="O34" s="15"/>
      <c r="P34" s="15"/>
      <c r="Q34" s="15"/>
      <c r="R34" s="15"/>
      <c r="S34" s="15"/>
      <c r="T34" s="15"/>
      <c r="U34" s="15"/>
      <c r="V34" s="16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>
      <c r="A35" s="7">
        <v>35.0</v>
      </c>
      <c r="B35" s="27" t="s">
        <v>143</v>
      </c>
      <c r="C35" s="27">
        <v>11.0</v>
      </c>
      <c r="D35" s="9" t="s">
        <v>32</v>
      </c>
      <c r="E35" s="9" t="s">
        <v>144</v>
      </c>
      <c r="F35" s="9" t="s">
        <v>145</v>
      </c>
      <c r="G35" s="8" t="s">
        <v>146</v>
      </c>
      <c r="H35" s="9" t="s">
        <v>26</v>
      </c>
      <c r="I35" s="10">
        <v>0.15</v>
      </c>
      <c r="J35" s="11">
        <f t="shared" si="1"/>
        <v>1.65</v>
      </c>
      <c r="K35" s="12" t="s">
        <v>10</v>
      </c>
      <c r="L35" s="12" t="s">
        <v>19</v>
      </c>
      <c r="M35" s="13" t="s">
        <v>19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>
      <c r="A36" s="7">
        <v>36.0</v>
      </c>
      <c r="B36" s="45" t="s">
        <v>147</v>
      </c>
      <c r="C36" s="27">
        <v>26.0</v>
      </c>
      <c r="D36" s="9" t="s">
        <v>14</v>
      </c>
      <c r="E36" s="9" t="s">
        <v>148</v>
      </c>
      <c r="F36" s="9" t="s">
        <v>149</v>
      </c>
      <c r="G36" s="46" t="s">
        <v>17</v>
      </c>
      <c r="H36" s="9" t="s">
        <v>18</v>
      </c>
      <c r="I36" s="47">
        <v>0.1</v>
      </c>
      <c r="J36" s="11">
        <f t="shared" si="1"/>
        <v>2.6</v>
      </c>
      <c r="K36" s="12" t="s">
        <v>10</v>
      </c>
      <c r="L36" s="12" t="s">
        <v>19</v>
      </c>
      <c r="M36" s="48" t="s">
        <v>19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>
      <c r="A37" s="7">
        <v>37.0</v>
      </c>
      <c r="B37" s="9" t="s">
        <v>150</v>
      </c>
      <c r="C37" s="9">
        <v>8.0</v>
      </c>
      <c r="D37" s="9" t="s">
        <v>32</v>
      </c>
      <c r="E37" s="9" t="s">
        <v>151</v>
      </c>
      <c r="F37" s="9" t="s">
        <v>152</v>
      </c>
      <c r="G37" s="9" t="s">
        <v>25</v>
      </c>
      <c r="H37" s="9" t="s">
        <v>26</v>
      </c>
      <c r="I37" s="10">
        <v>0.08</v>
      </c>
      <c r="J37" s="11">
        <f t="shared" si="1"/>
        <v>0.64</v>
      </c>
      <c r="K37" s="12" t="s">
        <v>10</v>
      </c>
      <c r="L37" s="12" t="s">
        <v>19</v>
      </c>
      <c r="M37" s="17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>
      <c r="A38" s="7">
        <v>38.0</v>
      </c>
      <c r="B38" s="8" t="s">
        <v>153</v>
      </c>
      <c r="C38" s="8">
        <v>1.0</v>
      </c>
      <c r="D38" s="9" t="s">
        <v>28</v>
      </c>
      <c r="E38" s="9" t="s">
        <v>117</v>
      </c>
      <c r="F38" s="9" t="s">
        <v>118</v>
      </c>
      <c r="G38" s="8" t="s">
        <v>25</v>
      </c>
      <c r="H38" s="9" t="s">
        <v>26</v>
      </c>
      <c r="I38" s="10">
        <v>0.1</v>
      </c>
      <c r="J38" s="11">
        <f t="shared" si="1"/>
        <v>0.1</v>
      </c>
      <c r="K38" s="12" t="s">
        <v>10</v>
      </c>
      <c r="L38" s="12" t="s">
        <v>19</v>
      </c>
      <c r="M38" s="17"/>
      <c r="N38" s="15"/>
      <c r="O38" s="15"/>
      <c r="P38" s="15"/>
      <c r="Q38" s="15"/>
      <c r="R38" s="15"/>
      <c r="S38" s="15"/>
      <c r="T38" s="15"/>
      <c r="U38" s="15"/>
      <c r="V38" s="16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>
      <c r="A39" s="7">
        <v>39.0</v>
      </c>
      <c r="B39" s="9" t="s">
        <v>154</v>
      </c>
      <c r="C39" s="9">
        <v>2.0</v>
      </c>
      <c r="D39" s="8" t="s">
        <v>32</v>
      </c>
      <c r="E39" s="8" t="s">
        <v>155</v>
      </c>
      <c r="F39" s="9" t="s">
        <v>156</v>
      </c>
      <c r="G39" s="8" t="s">
        <v>146</v>
      </c>
      <c r="H39" s="9" t="s">
        <v>26</v>
      </c>
      <c r="I39" s="10">
        <v>0.08</v>
      </c>
      <c r="J39" s="11">
        <f t="shared" si="1"/>
        <v>0.16</v>
      </c>
      <c r="K39" s="12" t="s">
        <v>10</v>
      </c>
      <c r="L39" s="12" t="s">
        <v>157</v>
      </c>
      <c r="M39" s="17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>
      <c r="A40" s="7">
        <v>40.0</v>
      </c>
      <c r="B40" s="49" t="s">
        <v>158</v>
      </c>
      <c r="C40" s="9">
        <v>2.0</v>
      </c>
      <c r="D40" s="9" t="s">
        <v>159</v>
      </c>
      <c r="E40" s="9" t="s">
        <v>160</v>
      </c>
      <c r="F40" s="9" t="s">
        <v>161</v>
      </c>
      <c r="G40" s="9" t="s">
        <v>162</v>
      </c>
      <c r="H40" s="9" t="s">
        <v>26</v>
      </c>
      <c r="I40" s="10">
        <v>1.82</v>
      </c>
      <c r="J40" s="11">
        <f t="shared" si="1"/>
        <v>3.64</v>
      </c>
      <c r="K40" s="12" t="s">
        <v>10</v>
      </c>
      <c r="L40" s="12" t="s">
        <v>19</v>
      </c>
      <c r="M40" s="17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>
      <c r="A41" s="7">
        <v>41.0</v>
      </c>
      <c r="B41" s="8" t="s">
        <v>163</v>
      </c>
      <c r="C41" s="8">
        <v>1.0</v>
      </c>
      <c r="D41" s="9" t="s">
        <v>22</v>
      </c>
      <c r="E41" s="9" t="s">
        <v>164</v>
      </c>
      <c r="F41" s="9" t="s">
        <v>165</v>
      </c>
      <c r="G41" s="9" t="s">
        <v>146</v>
      </c>
      <c r="H41" s="9" t="s">
        <v>26</v>
      </c>
      <c r="I41" s="10">
        <v>0.12</v>
      </c>
      <c r="J41" s="11">
        <f t="shared" si="1"/>
        <v>0.12</v>
      </c>
      <c r="K41" s="12" t="s">
        <v>10</v>
      </c>
      <c r="L41" s="12" t="s">
        <v>19</v>
      </c>
      <c r="M41" s="13" t="s">
        <v>19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>
      <c r="A42" s="7">
        <v>42.0</v>
      </c>
      <c r="B42" s="8" t="s">
        <v>166</v>
      </c>
      <c r="C42" s="8">
        <v>1.0</v>
      </c>
      <c r="D42" s="9" t="s">
        <v>32</v>
      </c>
      <c r="E42" s="9" t="s">
        <v>33</v>
      </c>
      <c r="F42" s="9" t="s">
        <v>167</v>
      </c>
      <c r="G42" s="9" t="s">
        <v>25</v>
      </c>
      <c r="H42" s="9" t="s">
        <v>26</v>
      </c>
      <c r="I42" s="10">
        <v>0.08</v>
      </c>
      <c r="J42" s="11">
        <f t="shared" si="1"/>
        <v>0.08</v>
      </c>
      <c r="K42" s="12" t="s">
        <v>10</v>
      </c>
      <c r="L42" s="12" t="s">
        <v>19</v>
      </c>
      <c r="M42" s="17"/>
      <c r="N42" s="15"/>
      <c r="O42" s="15"/>
      <c r="P42" s="15"/>
      <c r="Q42" s="15"/>
      <c r="R42" s="15"/>
      <c r="S42" s="15"/>
      <c r="T42" s="15"/>
      <c r="U42" s="15"/>
      <c r="V42" s="16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>
      <c r="A43" s="7">
        <v>43.0</v>
      </c>
      <c r="B43" s="8" t="s">
        <v>168</v>
      </c>
      <c r="C43" s="8">
        <v>1.0</v>
      </c>
      <c r="D43" s="9" t="s">
        <v>28</v>
      </c>
      <c r="E43" s="9" t="s">
        <v>93</v>
      </c>
      <c r="F43" s="9" t="s">
        <v>169</v>
      </c>
      <c r="G43" s="8" t="s">
        <v>95</v>
      </c>
      <c r="H43" s="9" t="s">
        <v>26</v>
      </c>
      <c r="I43" s="10">
        <v>0.1</v>
      </c>
      <c r="J43" s="11">
        <f t="shared" si="1"/>
        <v>0.1</v>
      </c>
      <c r="K43" s="12" t="s">
        <v>10</v>
      </c>
      <c r="L43" s="12" t="s">
        <v>19</v>
      </c>
      <c r="M43" s="13" t="s">
        <v>19</v>
      </c>
      <c r="N43" s="15"/>
      <c r="O43" s="15"/>
      <c r="P43" s="15"/>
      <c r="Q43" s="15"/>
      <c r="R43" s="15"/>
      <c r="S43" s="15"/>
      <c r="T43" s="15"/>
      <c r="U43" s="15"/>
      <c r="V43" s="16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>
      <c r="A44" s="7">
        <v>44.0</v>
      </c>
      <c r="B44" s="9" t="s">
        <v>170</v>
      </c>
      <c r="C44" s="9">
        <v>4.0</v>
      </c>
      <c r="D44" s="9" t="s">
        <v>32</v>
      </c>
      <c r="E44" s="9" t="s">
        <v>171</v>
      </c>
      <c r="F44" s="9" t="s">
        <v>172</v>
      </c>
      <c r="G44" s="9" t="s">
        <v>25</v>
      </c>
      <c r="H44" s="9" t="s">
        <v>26</v>
      </c>
      <c r="I44" s="10">
        <v>0.8</v>
      </c>
      <c r="J44" s="11">
        <f t="shared" si="1"/>
        <v>3.2</v>
      </c>
      <c r="K44" s="12" t="s">
        <v>10</v>
      </c>
      <c r="L44" s="12" t="s">
        <v>19</v>
      </c>
      <c r="M44" s="17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>
      <c r="A45" s="7">
        <v>45.0</v>
      </c>
      <c r="B45" s="8" t="s">
        <v>173</v>
      </c>
      <c r="C45" s="8">
        <v>1.0</v>
      </c>
      <c r="D45" s="9" t="s">
        <v>28</v>
      </c>
      <c r="E45" s="9" t="s">
        <v>174</v>
      </c>
      <c r="F45" s="27" t="s">
        <v>175</v>
      </c>
      <c r="G45" s="8" t="s">
        <v>25</v>
      </c>
      <c r="H45" s="9" t="s">
        <v>26</v>
      </c>
      <c r="I45" s="10">
        <v>0.1</v>
      </c>
      <c r="J45" s="11">
        <f t="shared" si="1"/>
        <v>0.1</v>
      </c>
      <c r="K45" s="12" t="s">
        <v>10</v>
      </c>
      <c r="L45" s="12" t="s">
        <v>19</v>
      </c>
      <c r="M45" s="50" t="s">
        <v>176</v>
      </c>
      <c r="N45" s="15"/>
      <c r="O45" s="15"/>
      <c r="P45" s="15"/>
      <c r="Q45" s="15"/>
      <c r="R45" s="15"/>
      <c r="S45" s="15"/>
      <c r="T45" s="15"/>
      <c r="U45" s="15"/>
      <c r="V45" s="16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>
      <c r="A46" s="38">
        <v>46.0</v>
      </c>
      <c r="B46" s="51" t="s">
        <v>177</v>
      </c>
      <c r="C46" s="38">
        <v>1.0</v>
      </c>
      <c r="D46" s="27" t="s">
        <v>111</v>
      </c>
      <c r="E46" s="27" t="s">
        <v>178</v>
      </c>
      <c r="F46" s="27" t="s">
        <v>179</v>
      </c>
      <c r="G46" s="38" t="s">
        <v>25</v>
      </c>
      <c r="H46" s="27" t="s">
        <v>26</v>
      </c>
      <c r="I46" s="52">
        <v>0.1</v>
      </c>
      <c r="J46" s="52">
        <v>0.1</v>
      </c>
      <c r="K46" s="37" t="s">
        <v>10</v>
      </c>
      <c r="L46" s="37" t="s">
        <v>19</v>
      </c>
      <c r="M46" s="53"/>
      <c r="N46" s="53"/>
      <c r="O46" s="53"/>
      <c r="P46" s="53"/>
      <c r="Q46" s="53"/>
      <c r="R46" s="53"/>
      <c r="S46" s="53"/>
      <c r="T46" s="53"/>
      <c r="U46" s="53"/>
      <c r="V46" s="54"/>
      <c r="W46" s="53"/>
      <c r="X46" s="53"/>
      <c r="Y46" s="53"/>
      <c r="Z46" s="53"/>
      <c r="AA46" s="53"/>
      <c r="AB46" s="53"/>
      <c r="AC46" s="53"/>
      <c r="AD46" s="53"/>
      <c r="AE46" s="53"/>
      <c r="AF46" s="53"/>
    </row>
    <row r="47">
      <c r="A47" s="15"/>
      <c r="B47" s="15"/>
      <c r="C47" s="15"/>
      <c r="D47" s="15"/>
      <c r="E47" s="15"/>
      <c r="F47" s="15"/>
      <c r="G47" s="15"/>
      <c r="H47" s="55" t="s">
        <v>180</v>
      </c>
      <c r="I47" s="56">
        <f t="shared" ref="I47:J47" si="2">SUM(I2:I46)</f>
        <v>64.23</v>
      </c>
      <c r="J47" s="57">
        <f t="shared" si="2"/>
        <v>94.79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>
      <c r="A49" s="16"/>
      <c r="B49" s="58"/>
      <c r="C49" s="16"/>
      <c r="D49" s="15"/>
      <c r="E49" s="15"/>
      <c r="F49" s="16"/>
      <c r="G49" s="15"/>
      <c r="H49" s="15"/>
      <c r="I49" s="15"/>
      <c r="J49" s="59"/>
      <c r="K49" s="59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/>
      <c r="X49" s="15"/>
      <c r="Y49" s="15"/>
      <c r="Z49" s="15"/>
      <c r="AA49" s="15"/>
      <c r="AB49" s="15"/>
      <c r="AC49" s="15"/>
      <c r="AD49" s="15"/>
      <c r="AE49" s="15"/>
      <c r="AF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4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>
      <c r="A923" s="60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2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>
      <c r="A924" s="6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17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>
      <c r="A925" s="6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17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>
      <c r="A926" s="6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17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>
      <c r="A927" s="6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17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>
      <c r="A928" s="6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17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>
      <c r="A929" s="6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17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>
      <c r="A930" s="6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17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>
      <c r="A931" s="6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17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>
      <c r="A932" s="6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17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>
      <c r="A933" s="6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17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>
      <c r="A934" s="6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17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>
      <c r="A935" s="6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17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>
      <c r="A936" s="6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17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>
      <c r="A937" s="6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17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>
      <c r="A938" s="6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17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>
      <c r="A939" s="6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17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>
      <c r="A940" s="6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17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>
      <c r="A941" s="6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17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>
      <c r="A942" s="6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17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>
      <c r="A943" s="6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17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>
      <c r="A944" s="6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17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>
      <c r="A945" s="6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17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>
      <c r="A946" s="6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17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>
      <c r="A947" s="6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17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>
      <c r="A948" s="6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17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>
      <c r="A949" s="6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17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>
      <c r="A950" s="6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17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>
      <c r="A951" s="6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17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>
      <c r="A952" s="6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17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>
      <c r="A953" s="6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17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>
      <c r="A954" s="6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17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>
      <c r="A955" s="6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17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>
      <c r="A956" s="6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17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>
      <c r="A957" s="6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17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>
      <c r="A958" s="6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17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>
      <c r="A959" s="6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17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>
      <c r="A960" s="6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17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>
      <c r="A961" s="6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17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>
      <c r="A962" s="6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17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>
      <c r="A963" s="6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17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>
      <c r="A964" s="6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17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>
      <c r="A965" s="6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17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>
      <c r="A966" s="6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17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>
      <c r="A967" s="6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17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>
      <c r="A968" s="6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17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>
      <c r="A969" s="6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17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>
      <c r="A970" s="6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17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>
      <c r="A971" s="6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17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>
      <c r="A972" s="6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17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>
      <c r="A973" s="6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17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>
      <c r="A974" s="6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17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>
      <c r="A975" s="6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17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>
      <c r="A976" s="6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17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>
      <c r="A977" s="6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17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>
      <c r="A978" s="6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17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>
      <c r="A979" s="6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17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>
      <c r="A980" s="6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17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>
      <c r="A981" s="6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17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>
      <c r="A982" s="6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17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>
      <c r="A983" s="6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17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>
      <c r="A984" s="6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17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>
      <c r="A985" s="6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17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>
      <c r="A986" s="6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17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>
      <c r="A987" s="6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17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>
      <c r="A988" s="6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17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>
      <c r="A989" s="6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17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>
      <c r="A990" s="6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17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>
      <c r="A991" s="6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17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>
      <c r="A992" s="6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17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>
      <c r="A993" s="6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17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>
      <c r="A994" s="6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17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>
      <c r="A995" s="6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17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>
      <c r="A996" s="64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6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</sheetData>
  <hyperlinks>
    <hyperlink r:id="rId1" ref="K2"/>
    <hyperlink r:id="rId2" ref="L2"/>
    <hyperlink r:id="rId3" ref="M2"/>
    <hyperlink r:id="rId4" ref="K3"/>
    <hyperlink r:id="rId5" ref="L3"/>
    <hyperlink r:id="rId6" ref="K4"/>
    <hyperlink r:id="rId7" ref="L4"/>
    <hyperlink r:id="rId8" ref="K5"/>
    <hyperlink r:id="rId9" ref="L5"/>
    <hyperlink r:id="rId10" ref="M5"/>
    <hyperlink r:id="rId11" ref="K6"/>
    <hyperlink r:id="rId12" ref="L6"/>
    <hyperlink r:id="rId13" ref="M6"/>
    <hyperlink r:id="rId14" ref="K7"/>
    <hyperlink r:id="rId15" ref="L7"/>
    <hyperlink r:id="rId16" ref="M7"/>
    <hyperlink r:id="rId17" ref="K8"/>
    <hyperlink r:id="rId18" ref="L8"/>
    <hyperlink r:id="rId19" ref="K9"/>
    <hyperlink r:id="rId20" ref="L9"/>
    <hyperlink r:id="rId21" ref="K10"/>
    <hyperlink r:id="rId22" ref="L10"/>
    <hyperlink r:id="rId23" ref="K11"/>
    <hyperlink r:id="rId24" ref="L11"/>
    <hyperlink r:id="rId25" ref="M11"/>
    <hyperlink r:id="rId26" ref="K12"/>
    <hyperlink r:id="rId27" ref="L12"/>
    <hyperlink r:id="rId28" ref="K13"/>
    <hyperlink r:id="rId29" ref="L13"/>
    <hyperlink r:id="rId30" ref="K14"/>
    <hyperlink r:id="rId31" ref="L14"/>
    <hyperlink r:id="rId32" ref="K15"/>
    <hyperlink r:id="rId33" ref="L15"/>
    <hyperlink r:id="rId34" ref="K16"/>
    <hyperlink r:id="rId35" ref="L16"/>
    <hyperlink r:id="rId36" ref="M16"/>
    <hyperlink r:id="rId37" ref="K17"/>
    <hyperlink r:id="rId38" ref="L17"/>
    <hyperlink r:id="rId39" ref="K18"/>
    <hyperlink r:id="rId40" ref="L18"/>
    <hyperlink r:id="rId41" ref="K19"/>
    <hyperlink r:id="rId42" ref="L19"/>
    <hyperlink r:id="rId43" ref="K20"/>
    <hyperlink r:id="rId44" ref="L20"/>
    <hyperlink r:id="rId45" ref="K21"/>
    <hyperlink r:id="rId46" ref="L21"/>
    <hyperlink r:id="rId47" ref="K22"/>
    <hyperlink r:id="rId48" ref="L22"/>
    <hyperlink r:id="rId49" ref="K23"/>
    <hyperlink r:id="rId50" ref="L23"/>
    <hyperlink r:id="rId51" ref="K24"/>
    <hyperlink r:id="rId52" ref="L24"/>
    <hyperlink r:id="rId53" ref="M24"/>
    <hyperlink r:id="rId54" ref="K25"/>
    <hyperlink r:id="rId55" ref="L25"/>
    <hyperlink r:id="rId56" ref="K26"/>
    <hyperlink r:id="rId57" ref="L26"/>
    <hyperlink r:id="rId58" ref="K27"/>
    <hyperlink r:id="rId59" ref="L27"/>
    <hyperlink r:id="rId60" ref="K28"/>
    <hyperlink r:id="rId61" ref="L28"/>
    <hyperlink r:id="rId62" ref="K29"/>
    <hyperlink r:id="rId63" ref="L29"/>
    <hyperlink r:id="rId64" ref="K30"/>
    <hyperlink r:id="rId65" ref="L30"/>
    <hyperlink r:id="rId66" ref="K31"/>
    <hyperlink r:id="rId67" ref="L31"/>
    <hyperlink r:id="rId68" ref="M31"/>
    <hyperlink r:id="rId69" ref="K32"/>
    <hyperlink r:id="rId70" ref="L32"/>
    <hyperlink r:id="rId71" ref="M32"/>
    <hyperlink r:id="rId72" ref="K33"/>
    <hyperlink r:id="rId73" ref="L33"/>
    <hyperlink r:id="rId74" ref="K34"/>
    <hyperlink r:id="rId75" ref="L34"/>
    <hyperlink r:id="rId76" ref="K35"/>
    <hyperlink r:id="rId77" ref="L35"/>
    <hyperlink r:id="rId78" ref="M35"/>
    <hyperlink r:id="rId79" ref="K36"/>
    <hyperlink r:id="rId80" ref="L36"/>
    <hyperlink r:id="rId81" ref="M36"/>
    <hyperlink r:id="rId82" ref="K37"/>
    <hyperlink r:id="rId83" ref="L37"/>
    <hyperlink r:id="rId84" ref="K38"/>
    <hyperlink r:id="rId85" ref="L38"/>
    <hyperlink r:id="rId86" ref="K39"/>
    <hyperlink r:id="rId87" ref="L39"/>
    <hyperlink r:id="rId88" ref="K40"/>
    <hyperlink r:id="rId89" ref="L40"/>
    <hyperlink r:id="rId90" ref="K41"/>
    <hyperlink r:id="rId91" ref="L41"/>
    <hyperlink r:id="rId92" ref="M41"/>
    <hyperlink r:id="rId93" ref="K42"/>
    <hyperlink r:id="rId94" ref="L42"/>
    <hyperlink r:id="rId95" ref="K43"/>
    <hyperlink r:id="rId96" ref="L43"/>
    <hyperlink r:id="rId97" ref="M43"/>
    <hyperlink r:id="rId98" ref="K44"/>
    <hyperlink r:id="rId99" ref="L44"/>
    <hyperlink r:id="rId100" ref="K45"/>
    <hyperlink r:id="rId101" ref="L45"/>
    <hyperlink r:id="rId102" ref="M45"/>
    <hyperlink r:id="rId103" ref="K46"/>
    <hyperlink r:id="rId104" ref="L46"/>
  </hyperlinks>
  <drawing r:id="rId105"/>
</worksheet>
</file>